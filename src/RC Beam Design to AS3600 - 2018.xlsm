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146666\PyCharmMiscProject\"/>
    </mc:Choice>
  </mc:AlternateContent>
  <xr:revisionPtr revIDLastSave="0" documentId="13_ncr:1_{0869D453-BFDD-4675-8177-A385B7228F4F}" xr6:coauthVersionLast="47" xr6:coauthVersionMax="47" xr10:uidLastSave="{00000000-0000-0000-0000-000000000000}"/>
  <bookViews>
    <workbookView xWindow="-17424" yWindow="-17388" windowWidth="30936" windowHeight="16776" xr2:uid="{766B3A4E-DE22-4110-A729-0EBFCE2798A2}"/>
  </bookViews>
  <sheets>
    <sheet name="DESIGN" sheetId="1" r:id="rId1"/>
    <sheet name="PC-B1-3_DDR" sheetId="6" state="hidden" r:id="rId2"/>
    <sheet name="PC-B4-7_DDR1" sheetId="8" state="hidden" r:id="rId3"/>
    <sheet name="PC-S1_DDR1" sheetId="9" state="hidden" r:id="rId4"/>
    <sheet name="PC-B4-7_DDR1 (2)" sheetId="13" state="hidden" r:id="rId5"/>
    <sheet name="PC-S1_DDR1 (2)" sheetId="18" state="hidden" r:id="rId6"/>
    <sheet name="PC-B1-3_DDR (2)" sheetId="12" state="hidden" r:id="rId7"/>
    <sheet name="Data Validation" sheetId="2" state="hidden" r:id="rId8"/>
  </sheets>
  <definedNames>
    <definedName name="solver_adj" localSheetId="0" hidden="1">DESIGN!$D$55</definedName>
    <definedName name="solver_adj" localSheetId="1" hidden="1">'PC-B1-3_DDR'!$D$55</definedName>
    <definedName name="solver_adj" localSheetId="6" hidden="1">'PC-B1-3_DDR (2)'!$D$55</definedName>
    <definedName name="solver_adj" localSheetId="2" hidden="1">'PC-B4-7_DDR1'!$D$55</definedName>
    <definedName name="solver_adj" localSheetId="4" hidden="1">'PC-B4-7_DDR1 (2)'!$D$55</definedName>
    <definedName name="solver_adj" localSheetId="3" hidden="1">'PC-S1_DDR1'!$D$55</definedName>
    <definedName name="solver_adj" localSheetId="5" hidden="1">'PC-S1_DDR1 (2)'!$D$55</definedName>
    <definedName name="solver_eng" localSheetId="0" hidden="1">1</definedName>
    <definedName name="solver_eng" localSheetId="1" hidden="1">1</definedName>
    <definedName name="solver_eng" localSheetId="6" hidden="1">1</definedName>
    <definedName name="solver_eng" localSheetId="2" hidden="1">1</definedName>
    <definedName name="solver_eng" localSheetId="4" hidden="1">1</definedName>
    <definedName name="solver_eng" localSheetId="3" hidden="1">1</definedName>
    <definedName name="solver_eng" localSheetId="5" hidden="1">1</definedName>
    <definedName name="solver_neg" localSheetId="0" hidden="1">1</definedName>
    <definedName name="solver_neg" localSheetId="1" hidden="1">1</definedName>
    <definedName name="solver_neg" localSheetId="6" hidden="1">1</definedName>
    <definedName name="solver_neg" localSheetId="2" hidden="1">1</definedName>
    <definedName name="solver_neg" localSheetId="4" hidden="1">1</definedName>
    <definedName name="solver_neg" localSheetId="3" hidden="1">1</definedName>
    <definedName name="solver_neg" localSheetId="5" hidden="1">1</definedName>
    <definedName name="solver_num" localSheetId="0" hidden="1">0</definedName>
    <definedName name="solver_num" localSheetId="1" hidden="1">0</definedName>
    <definedName name="solver_num" localSheetId="6" hidden="1">0</definedName>
    <definedName name="solver_num" localSheetId="2" hidden="1">0</definedName>
    <definedName name="solver_num" localSheetId="4" hidden="1">0</definedName>
    <definedName name="solver_num" localSheetId="3" hidden="1">0</definedName>
    <definedName name="solver_num" localSheetId="5" hidden="1">0</definedName>
    <definedName name="solver_opt" localSheetId="0" hidden="1">DESIGN!$J$54</definedName>
    <definedName name="solver_opt" localSheetId="1" hidden="1">'PC-B1-3_DDR'!$J$54</definedName>
    <definedName name="solver_opt" localSheetId="6" hidden="1">'PC-B1-3_DDR (2)'!$J$54</definedName>
    <definedName name="solver_opt" localSheetId="2" hidden="1">'PC-B4-7_DDR1'!$J$54</definedName>
    <definedName name="solver_opt" localSheetId="4" hidden="1">'PC-B4-7_DDR1 (2)'!$J$54</definedName>
    <definedName name="solver_opt" localSheetId="3" hidden="1">'PC-S1_DDR1'!$J$54</definedName>
    <definedName name="solver_opt" localSheetId="5" hidden="1">'PC-S1_DDR1 (2)'!$J$54</definedName>
    <definedName name="solver_typ" localSheetId="0" hidden="1">3</definedName>
    <definedName name="solver_typ" localSheetId="1" hidden="1">3</definedName>
    <definedName name="solver_typ" localSheetId="6" hidden="1">3</definedName>
    <definedName name="solver_typ" localSheetId="2" hidden="1">3</definedName>
    <definedName name="solver_typ" localSheetId="4" hidden="1">3</definedName>
    <definedName name="solver_typ" localSheetId="3" hidden="1">3</definedName>
    <definedName name="solver_typ" localSheetId="5" hidden="1">3</definedName>
    <definedName name="solver_val" localSheetId="0" hidden="1">0</definedName>
    <definedName name="solver_val" localSheetId="1" hidden="1">0</definedName>
    <definedName name="solver_val" localSheetId="6" hidden="1">0</definedName>
    <definedName name="solver_val" localSheetId="2" hidden="1">0</definedName>
    <definedName name="solver_val" localSheetId="4" hidden="1">0</definedName>
    <definedName name="solver_val" localSheetId="3" hidden="1">0</definedName>
    <definedName name="solver_val" localSheetId="5" hidden="1">0</definedName>
    <definedName name="solver_ver" localSheetId="0" hidden="1">3</definedName>
    <definedName name="solver_ver" localSheetId="1" hidden="1">3</definedName>
    <definedName name="solver_ver" localSheetId="6" hidden="1">3</definedName>
    <definedName name="solver_ver" localSheetId="2" hidden="1">3</definedName>
    <definedName name="solver_ver" localSheetId="4" hidden="1">3</definedName>
    <definedName name="solver_ver" localSheetId="3" hidden="1">3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5" i="1" l="1"/>
  <c r="H36" i="1"/>
  <c r="H37" i="1"/>
  <c r="H38" i="1"/>
  <c r="H34" i="1"/>
  <c r="H28" i="1"/>
  <c r="H29" i="1"/>
  <c r="H30" i="1"/>
  <c r="H31" i="1"/>
  <c r="H27" i="1"/>
  <c r="P25" i="1"/>
  <c r="J7" i="1"/>
  <c r="D170" i="1"/>
  <c r="D52" i="1" l="1"/>
  <c r="D20" i="13"/>
  <c r="D124" i="13" s="1"/>
  <c r="J172" i="18"/>
  <c r="D172" i="18"/>
  <c r="J171" i="18"/>
  <c r="D171" i="18"/>
  <c r="J170" i="18"/>
  <c r="D170" i="18"/>
  <c r="J169" i="18"/>
  <c r="D169" i="18"/>
  <c r="J150" i="18"/>
  <c r="D150" i="18"/>
  <c r="L149" i="18"/>
  <c r="L158" i="18" s="1"/>
  <c r="L159" i="18" s="1"/>
  <c r="F149" i="18"/>
  <c r="F158" i="18" s="1"/>
  <c r="F159" i="18" s="1"/>
  <c r="J142" i="18"/>
  <c r="D142" i="18"/>
  <c r="J124" i="18"/>
  <c r="D124" i="18"/>
  <c r="J121" i="18"/>
  <c r="J123" i="18" s="1"/>
  <c r="J125" i="18" s="1"/>
  <c r="D121" i="18"/>
  <c r="D123" i="18" s="1"/>
  <c r="D125" i="18" s="1"/>
  <c r="J100" i="18"/>
  <c r="D100" i="18"/>
  <c r="D96" i="18"/>
  <c r="J73" i="18"/>
  <c r="J79" i="18" s="1"/>
  <c r="J70" i="18"/>
  <c r="J76" i="18" s="1"/>
  <c r="J82" i="18" s="1"/>
  <c r="D70" i="18"/>
  <c r="D76" i="18" s="1"/>
  <c r="D82" i="18" s="1"/>
  <c r="J69" i="18"/>
  <c r="J75" i="18" s="1"/>
  <c r="J81" i="18" s="1"/>
  <c r="D69" i="18"/>
  <c r="D75" i="18" s="1"/>
  <c r="D81" i="18" s="1"/>
  <c r="J68" i="18"/>
  <c r="J74" i="18" s="1"/>
  <c r="J80" i="18" s="1"/>
  <c r="J67" i="18"/>
  <c r="D54" i="18"/>
  <c r="D53" i="18"/>
  <c r="D84" i="18" s="1"/>
  <c r="D52" i="18"/>
  <c r="D152" i="18" s="1"/>
  <c r="D51" i="18"/>
  <c r="J152" i="18" s="1"/>
  <c r="D39" i="18"/>
  <c r="R38" i="18"/>
  <c r="J38" i="18"/>
  <c r="I38" i="18"/>
  <c r="D38" i="18"/>
  <c r="J37" i="18"/>
  <c r="I37" i="18"/>
  <c r="D37" i="18"/>
  <c r="R36" i="18"/>
  <c r="I36" i="18"/>
  <c r="J36" i="18" s="1"/>
  <c r="D36" i="18"/>
  <c r="J35" i="18"/>
  <c r="I35" i="18"/>
  <c r="D35" i="18"/>
  <c r="I34" i="18"/>
  <c r="J34" i="18" s="1"/>
  <c r="D34" i="18"/>
  <c r="R33" i="18"/>
  <c r="D33" i="18" s="1"/>
  <c r="J31" i="18"/>
  <c r="I31" i="18"/>
  <c r="J30" i="18"/>
  <c r="I30" i="18"/>
  <c r="I29" i="18"/>
  <c r="D68" i="18" s="1"/>
  <c r="D74" i="18" s="1"/>
  <c r="I28" i="18"/>
  <c r="D67" i="18" s="1"/>
  <c r="D73" i="18" s="1"/>
  <c r="H27" i="18"/>
  <c r="I27" i="18" s="1"/>
  <c r="Q25" i="18"/>
  <c r="P25" i="18"/>
  <c r="J22" i="18"/>
  <c r="D15" i="18"/>
  <c r="D80" i="18" s="1"/>
  <c r="D13" i="18"/>
  <c r="J101" i="18" s="1"/>
  <c r="D8" i="18"/>
  <c r="D50" i="18" s="1"/>
  <c r="E3" i="18"/>
  <c r="S35" i="12"/>
  <c r="H28" i="12"/>
  <c r="H27" i="12"/>
  <c r="J172" i="13"/>
  <c r="D172" i="13"/>
  <c r="J171" i="13"/>
  <c r="J170" i="13"/>
  <c r="D170" i="13"/>
  <c r="J169" i="13"/>
  <c r="D169" i="13"/>
  <c r="F158" i="13"/>
  <c r="F159" i="13" s="1"/>
  <c r="J150" i="13"/>
  <c r="D150" i="13"/>
  <c r="L149" i="13"/>
  <c r="L158" i="13" s="1"/>
  <c r="L159" i="13" s="1"/>
  <c r="F149" i="13"/>
  <c r="J142" i="13"/>
  <c r="D142" i="13"/>
  <c r="J123" i="13"/>
  <c r="D123" i="13"/>
  <c r="J121" i="13"/>
  <c r="D121" i="13"/>
  <c r="J100" i="13"/>
  <c r="D100" i="13"/>
  <c r="D54" i="13"/>
  <c r="D53" i="13"/>
  <c r="D84" i="13" s="1"/>
  <c r="D51" i="13"/>
  <c r="D39" i="13"/>
  <c r="I38" i="13"/>
  <c r="J70" i="13" s="1"/>
  <c r="J76" i="13" s="1"/>
  <c r="J82" i="13" s="1"/>
  <c r="D38" i="13"/>
  <c r="I37" i="13"/>
  <c r="J69" i="13" s="1"/>
  <c r="J75" i="13" s="1"/>
  <c r="J81" i="13" s="1"/>
  <c r="D37" i="13"/>
  <c r="I36" i="13"/>
  <c r="J68" i="13" s="1"/>
  <c r="J74" i="13" s="1"/>
  <c r="J80" i="13" s="1"/>
  <c r="D36" i="13"/>
  <c r="D35" i="13"/>
  <c r="I34" i="13"/>
  <c r="I35" i="13" s="1"/>
  <c r="J35" i="13" s="1"/>
  <c r="D34" i="13"/>
  <c r="D33" i="13"/>
  <c r="I31" i="13"/>
  <c r="D70" i="13" s="1"/>
  <c r="D76" i="13" s="1"/>
  <c r="I30" i="13"/>
  <c r="J30" i="13" s="1"/>
  <c r="I29" i="13"/>
  <c r="D68" i="13" s="1"/>
  <c r="D74" i="13" s="1"/>
  <c r="H28" i="13"/>
  <c r="H27" i="13"/>
  <c r="Q25" i="13"/>
  <c r="P25" i="13"/>
  <c r="J22" i="13"/>
  <c r="D171" i="13" s="1"/>
  <c r="D15" i="13"/>
  <c r="D13" i="13"/>
  <c r="D8" i="13"/>
  <c r="J96" i="13" s="1"/>
  <c r="E3" i="13"/>
  <c r="J171" i="12"/>
  <c r="J170" i="12"/>
  <c r="D170" i="12"/>
  <c r="J169" i="12"/>
  <c r="J172" i="12" s="1"/>
  <c r="D169" i="12"/>
  <c r="D172" i="12" s="1"/>
  <c r="J150" i="12"/>
  <c r="D150" i="12"/>
  <c r="L149" i="12"/>
  <c r="L158" i="12" s="1"/>
  <c r="L159" i="12" s="1"/>
  <c r="F149" i="12"/>
  <c r="F158" i="12" s="1"/>
  <c r="F159" i="12" s="1"/>
  <c r="J142" i="12"/>
  <c r="D142" i="12"/>
  <c r="J124" i="12"/>
  <c r="J125" i="12" s="1"/>
  <c r="D124" i="12"/>
  <c r="D125" i="12" s="1"/>
  <c r="J123" i="12"/>
  <c r="D123" i="12"/>
  <c r="J121" i="12"/>
  <c r="D121" i="12"/>
  <c r="J100" i="12"/>
  <c r="D100" i="12"/>
  <c r="D54" i="12"/>
  <c r="D53" i="12"/>
  <c r="D84" i="12" s="1"/>
  <c r="D51" i="12"/>
  <c r="D39" i="12"/>
  <c r="I38" i="12"/>
  <c r="J70" i="12" s="1"/>
  <c r="J76" i="12" s="1"/>
  <c r="J82" i="12" s="1"/>
  <c r="D38" i="12"/>
  <c r="I37" i="12"/>
  <c r="J69" i="12" s="1"/>
  <c r="J75" i="12" s="1"/>
  <c r="J81" i="12" s="1"/>
  <c r="D37" i="12"/>
  <c r="I36" i="12"/>
  <c r="J36" i="12" s="1"/>
  <c r="D36" i="12"/>
  <c r="D35" i="12"/>
  <c r="I34" i="12"/>
  <c r="J34" i="12" s="1"/>
  <c r="D34" i="12"/>
  <c r="D33" i="12"/>
  <c r="J7" i="12" s="1"/>
  <c r="I31" i="12"/>
  <c r="J31" i="12" s="1"/>
  <c r="I30" i="12"/>
  <c r="J30" i="12" s="1"/>
  <c r="I29" i="12"/>
  <c r="D68" i="12" s="1"/>
  <c r="D74" i="12" s="1"/>
  <c r="Q25" i="12"/>
  <c r="P25" i="12"/>
  <c r="J22" i="12"/>
  <c r="D171" i="12" s="1"/>
  <c r="D15" i="12"/>
  <c r="D13" i="12"/>
  <c r="D8" i="12"/>
  <c r="J97" i="12" s="1"/>
  <c r="E3" i="12"/>
  <c r="D51" i="1" l="1"/>
  <c r="I27" i="1"/>
  <c r="J27" i="1" s="1"/>
  <c r="J101" i="13"/>
  <c r="J124" i="13"/>
  <c r="J125" i="13" s="1"/>
  <c r="D125" i="13"/>
  <c r="J53" i="18"/>
  <c r="D66" i="18"/>
  <c r="D72" i="18" s="1"/>
  <c r="J7" i="18"/>
  <c r="D86" i="18"/>
  <c r="J55" i="18"/>
  <c r="D56" i="18"/>
  <c r="J9" i="18" s="1"/>
  <c r="D127" i="18"/>
  <c r="J103" i="18"/>
  <c r="D98" i="18"/>
  <c r="J27" i="18"/>
  <c r="D97" i="18"/>
  <c r="J97" i="18"/>
  <c r="J96" i="18"/>
  <c r="J28" i="18"/>
  <c r="J58" i="18"/>
  <c r="D173" i="18"/>
  <c r="D174" i="18" s="1"/>
  <c r="D175" i="18" s="1"/>
  <c r="J29" i="18"/>
  <c r="J173" i="18"/>
  <c r="J174" i="18" s="1"/>
  <c r="J175" i="18" s="1"/>
  <c r="J176" i="18" s="1"/>
  <c r="D78" i="18"/>
  <c r="D11" i="18"/>
  <c r="D122" i="18" s="1"/>
  <c r="J66" i="18"/>
  <c r="J72" i="18" s="1"/>
  <c r="J78" i="18" s="1"/>
  <c r="D79" i="18"/>
  <c r="J153" i="18"/>
  <c r="D101" i="18"/>
  <c r="D69" i="13"/>
  <c r="D75" i="13" s="1"/>
  <c r="D81" i="13" s="1"/>
  <c r="D101" i="13"/>
  <c r="D103" i="13" s="1"/>
  <c r="J173" i="13"/>
  <c r="J174" i="13" s="1"/>
  <c r="J175" i="13" s="1"/>
  <c r="I35" i="12"/>
  <c r="J101" i="12"/>
  <c r="J103" i="12" s="1"/>
  <c r="J68" i="12"/>
  <c r="J74" i="12" s="1"/>
  <c r="J80" i="12" s="1"/>
  <c r="J173" i="12"/>
  <c r="J174" i="12" s="1"/>
  <c r="J175" i="12" s="1"/>
  <c r="J66" i="12"/>
  <c r="J72" i="12" s="1"/>
  <c r="J78" i="12" s="1"/>
  <c r="J29" i="12"/>
  <c r="D69" i="12"/>
  <c r="D75" i="12" s="1"/>
  <c r="D81" i="12" s="1"/>
  <c r="J58" i="12"/>
  <c r="D97" i="12"/>
  <c r="D80" i="12"/>
  <c r="J66" i="13"/>
  <c r="J72" i="13" s="1"/>
  <c r="J78" i="13" s="1"/>
  <c r="D96" i="13"/>
  <c r="J153" i="13" s="1"/>
  <c r="D80" i="13"/>
  <c r="D97" i="13"/>
  <c r="J58" i="13"/>
  <c r="J97" i="13"/>
  <c r="J98" i="13" s="1"/>
  <c r="J103" i="13"/>
  <c r="D127" i="13"/>
  <c r="D11" i="13"/>
  <c r="J37" i="12"/>
  <c r="J31" i="13"/>
  <c r="I27" i="12"/>
  <c r="I28" i="12" s="1"/>
  <c r="J28" i="12" s="1"/>
  <c r="D70" i="12"/>
  <c r="D76" i="12" s="1"/>
  <c r="D82" i="12" s="1"/>
  <c r="D101" i="12"/>
  <c r="D52" i="13"/>
  <c r="D153" i="13" s="1"/>
  <c r="J38" i="12"/>
  <c r="D82" i="13"/>
  <c r="D50" i="13"/>
  <c r="J55" i="13" s="1"/>
  <c r="J152" i="13"/>
  <c r="J152" i="12"/>
  <c r="J38" i="13"/>
  <c r="J29" i="13"/>
  <c r="D52" i="12"/>
  <c r="J36" i="13"/>
  <c r="J67" i="13"/>
  <c r="J73" i="13" s="1"/>
  <c r="J79" i="13" s="1"/>
  <c r="I27" i="13"/>
  <c r="I28" i="13" s="1"/>
  <c r="D67" i="13" s="1"/>
  <c r="D73" i="13" s="1"/>
  <c r="D79" i="13" s="1"/>
  <c r="J37" i="13"/>
  <c r="J7" i="13"/>
  <c r="J34" i="13"/>
  <c r="D96" i="12"/>
  <c r="J96" i="12"/>
  <c r="J127" i="13" l="1"/>
  <c r="D176" i="18"/>
  <c r="D178" i="18"/>
  <c r="J177" i="18"/>
  <c r="L18" i="18" s="1"/>
  <c r="J18" i="18"/>
  <c r="D57" i="18"/>
  <c r="L9" i="18" s="1"/>
  <c r="D119" i="18"/>
  <c r="D120" i="18" s="1"/>
  <c r="J127" i="18"/>
  <c r="D103" i="18"/>
  <c r="J84" i="18"/>
  <c r="J54" i="18" s="1"/>
  <c r="J57" i="18"/>
  <c r="J59" i="18" s="1"/>
  <c r="J122" i="18"/>
  <c r="D99" i="18"/>
  <c r="J151" i="18" s="1"/>
  <c r="J56" i="18"/>
  <c r="J135" i="18"/>
  <c r="D135" i="18"/>
  <c r="J98" i="18"/>
  <c r="D153" i="18"/>
  <c r="J178" i="18"/>
  <c r="D127" i="12"/>
  <c r="D67" i="12"/>
  <c r="D73" i="12" s="1"/>
  <c r="D79" i="12" s="1"/>
  <c r="D56" i="13"/>
  <c r="J9" i="13" s="1"/>
  <c r="J176" i="13"/>
  <c r="J177" i="13" s="1"/>
  <c r="L18" i="13" s="1"/>
  <c r="J178" i="13"/>
  <c r="J179" i="13" s="1"/>
  <c r="L19" i="13" s="1"/>
  <c r="D98" i="13"/>
  <c r="D99" i="13" s="1"/>
  <c r="J151" i="13" s="1"/>
  <c r="J122" i="13"/>
  <c r="D122" i="13"/>
  <c r="J99" i="13"/>
  <c r="D151" i="13" s="1"/>
  <c r="D152" i="12"/>
  <c r="D173" i="12"/>
  <c r="D174" i="12" s="1"/>
  <c r="D175" i="12" s="1"/>
  <c r="J153" i="12"/>
  <c r="D98" i="12"/>
  <c r="J53" i="12"/>
  <c r="D66" i="12"/>
  <c r="D72" i="12" s="1"/>
  <c r="D78" i="12" s="1"/>
  <c r="J27" i="12"/>
  <c r="D66" i="13"/>
  <c r="D72" i="13" s="1"/>
  <c r="D78" i="13" s="1"/>
  <c r="D86" i="13" s="1"/>
  <c r="J27" i="13"/>
  <c r="D119" i="13"/>
  <c r="D120" i="13" s="1"/>
  <c r="J119" i="13"/>
  <c r="J84" i="13"/>
  <c r="D152" i="13"/>
  <c r="D173" i="13"/>
  <c r="D174" i="13" s="1"/>
  <c r="D175" i="13" s="1"/>
  <c r="D176" i="13" s="1"/>
  <c r="J53" i="13"/>
  <c r="D135" i="13" s="1"/>
  <c r="J28" i="13"/>
  <c r="J35" i="12"/>
  <c r="D11" i="12"/>
  <c r="D50" i="12"/>
  <c r="J67" i="12"/>
  <c r="J73" i="12" s="1"/>
  <c r="J79" i="12" s="1"/>
  <c r="J56" i="13"/>
  <c r="J135" i="13"/>
  <c r="J127" i="12"/>
  <c r="D103" i="12"/>
  <c r="D153" i="12"/>
  <c r="J98" i="12"/>
  <c r="D119" i="12"/>
  <c r="J120" i="13" l="1"/>
  <c r="J11" i="13" s="1"/>
  <c r="J8" i="18"/>
  <c r="J60" i="18"/>
  <c r="L8" i="18" s="1"/>
  <c r="J119" i="18"/>
  <c r="J120" i="18" s="1"/>
  <c r="J11" i="18" s="1"/>
  <c r="J154" i="18"/>
  <c r="J155" i="18"/>
  <c r="J156" i="18" s="1"/>
  <c r="J157" i="18" s="1"/>
  <c r="J16" i="18"/>
  <c r="D179" i="18"/>
  <c r="L16" i="18" s="1"/>
  <c r="J19" i="18"/>
  <c r="J179" i="18"/>
  <c r="L19" i="18" s="1"/>
  <c r="J15" i="18"/>
  <c r="D177" i="18"/>
  <c r="L15" i="18" s="1"/>
  <c r="J99" i="18"/>
  <c r="D151" i="18" s="1"/>
  <c r="D120" i="12"/>
  <c r="J18" i="13"/>
  <c r="D86" i="12"/>
  <c r="D176" i="12"/>
  <c r="D177" i="12" s="1"/>
  <c r="L15" i="12" s="1"/>
  <c r="J19" i="13"/>
  <c r="D57" i="13"/>
  <c r="L9" i="13" s="1"/>
  <c r="J154" i="13"/>
  <c r="J155" i="13" s="1"/>
  <c r="J156" i="13" s="1"/>
  <c r="J157" i="13" s="1"/>
  <c r="J159" i="13" s="1"/>
  <c r="J102" i="13" s="1"/>
  <c r="J104" i="13" s="1"/>
  <c r="J105" i="13" s="1"/>
  <c r="J54" i="13"/>
  <c r="J57" i="12"/>
  <c r="J59" i="12" s="1"/>
  <c r="J84" i="12"/>
  <c r="J55" i="12"/>
  <c r="D56" i="12"/>
  <c r="J176" i="12"/>
  <c r="J178" i="12"/>
  <c r="J122" i="12"/>
  <c r="D122" i="12"/>
  <c r="D154" i="13"/>
  <c r="D155" i="13" s="1"/>
  <c r="D156" i="13" s="1"/>
  <c r="D157" i="13" s="1"/>
  <c r="J15" i="13"/>
  <c r="D177" i="13"/>
  <c r="L15" i="13" s="1"/>
  <c r="J99" i="12"/>
  <c r="D151" i="12" s="1"/>
  <c r="D99" i="12"/>
  <c r="J151" i="12" s="1"/>
  <c r="D178" i="13"/>
  <c r="J57" i="13"/>
  <c r="J59" i="13" s="1"/>
  <c r="J119" i="12"/>
  <c r="D178" i="12"/>
  <c r="J120" i="12"/>
  <c r="J11" i="12" s="1"/>
  <c r="D154" i="18" l="1"/>
  <c r="J159" i="18"/>
  <c r="J102" i="18" s="1"/>
  <c r="J158" i="18"/>
  <c r="J129" i="18" s="1"/>
  <c r="J130" i="18" s="1"/>
  <c r="J54" i="12"/>
  <c r="J15" i="12"/>
  <c r="J158" i="13"/>
  <c r="J129" i="13" s="1"/>
  <c r="J130" i="13" s="1"/>
  <c r="D126" i="13"/>
  <c r="D128" i="13" s="1"/>
  <c r="D131" i="13"/>
  <c r="D159" i="13"/>
  <c r="D102" i="13" s="1"/>
  <c r="D158" i="13"/>
  <c r="D129" i="13" s="1"/>
  <c r="D130" i="13" s="1"/>
  <c r="J8" i="13"/>
  <c r="J60" i="13"/>
  <c r="L8" i="13" s="1"/>
  <c r="J18" i="12"/>
  <c r="J177" i="12"/>
  <c r="L18" i="12" s="1"/>
  <c r="J9" i="12"/>
  <c r="D57" i="12"/>
  <c r="L9" i="12" s="1"/>
  <c r="J56" i="12"/>
  <c r="J135" i="12"/>
  <c r="D135" i="12"/>
  <c r="D154" i="12"/>
  <c r="D155" i="12" s="1"/>
  <c r="D156" i="12" s="1"/>
  <c r="D157" i="12" s="1"/>
  <c r="J179" i="12"/>
  <c r="L19" i="12" s="1"/>
  <c r="J19" i="12"/>
  <c r="D179" i="13"/>
  <c r="L16" i="13" s="1"/>
  <c r="J16" i="13"/>
  <c r="J154" i="12"/>
  <c r="J155" i="12" s="1"/>
  <c r="J156" i="12" s="1"/>
  <c r="J157" i="12" s="1"/>
  <c r="J8" i="12"/>
  <c r="J60" i="12"/>
  <c r="L8" i="12" s="1"/>
  <c r="J16" i="12"/>
  <c r="D179" i="12"/>
  <c r="L16" i="12" s="1"/>
  <c r="H27" i="9"/>
  <c r="I35" i="8"/>
  <c r="I34" i="8"/>
  <c r="R38" i="9"/>
  <c r="R36" i="9"/>
  <c r="R33" i="9"/>
  <c r="H28" i="8"/>
  <c r="D126" i="18" l="1"/>
  <c r="D128" i="18" s="1"/>
  <c r="J104" i="18"/>
  <c r="J105" i="18" s="1"/>
  <c r="D131" i="18"/>
  <c r="D155" i="18"/>
  <c r="D156" i="18" s="1"/>
  <c r="D157" i="18" s="1"/>
  <c r="J134" i="13"/>
  <c r="J136" i="13" s="1"/>
  <c r="D159" i="12"/>
  <c r="D102" i="12" s="1"/>
  <c r="D158" i="12"/>
  <c r="D129" i="12" s="1"/>
  <c r="D130" i="12" s="1"/>
  <c r="J159" i="12"/>
  <c r="J102" i="12" s="1"/>
  <c r="J158" i="12"/>
  <c r="J129" i="12" s="1"/>
  <c r="J130" i="12" s="1"/>
  <c r="D132" i="13"/>
  <c r="D134" i="13"/>
  <c r="D104" i="13"/>
  <c r="D105" i="13" s="1"/>
  <c r="J131" i="13"/>
  <c r="J132" i="13" s="1"/>
  <c r="J126" i="13"/>
  <c r="J128" i="13" s="1"/>
  <c r="D159" i="18" l="1"/>
  <c r="D102" i="18" s="1"/>
  <c r="D158" i="18"/>
  <c r="D129" i="18" s="1"/>
  <c r="D130" i="18" s="1"/>
  <c r="J141" i="13"/>
  <c r="J143" i="13" s="1"/>
  <c r="J144" i="13" s="1"/>
  <c r="J13" i="13"/>
  <c r="J133" i="13"/>
  <c r="L13" i="13" s="1"/>
  <c r="J12" i="13"/>
  <c r="D133" i="13"/>
  <c r="L12" i="13" s="1"/>
  <c r="J104" i="12"/>
  <c r="J105" i="12" s="1"/>
  <c r="D126" i="12"/>
  <c r="D128" i="12" s="1"/>
  <c r="D131" i="12"/>
  <c r="D132" i="12" s="1"/>
  <c r="D134" i="12"/>
  <c r="D136" i="13"/>
  <c r="D141" i="13"/>
  <c r="D143" i="13" s="1"/>
  <c r="J137" i="13"/>
  <c r="J138" i="13" s="1"/>
  <c r="J134" i="12"/>
  <c r="D104" i="12"/>
  <c r="D105" i="12" s="1"/>
  <c r="J126" i="12"/>
  <c r="J128" i="12" s="1"/>
  <c r="J131" i="12"/>
  <c r="J132" i="12" s="1"/>
  <c r="D144" i="13" l="1"/>
  <c r="D132" i="18"/>
  <c r="D134" i="18"/>
  <c r="J131" i="18"/>
  <c r="J132" i="18" s="1"/>
  <c r="D104" i="18"/>
  <c r="D105" i="18" s="1"/>
  <c r="J126" i="18"/>
  <c r="J128" i="18" s="1"/>
  <c r="J134" i="18"/>
  <c r="J12" i="12"/>
  <c r="D133" i="12"/>
  <c r="L12" i="12" s="1"/>
  <c r="J13" i="12"/>
  <c r="J133" i="12"/>
  <c r="L13" i="12" s="1"/>
  <c r="J139" i="13"/>
  <c r="D58" i="13"/>
  <c r="D141" i="12"/>
  <c r="D143" i="12" s="1"/>
  <c r="D136" i="12"/>
  <c r="J136" i="12"/>
  <c r="J141" i="12"/>
  <c r="J143" i="12" s="1"/>
  <c r="D137" i="13"/>
  <c r="D138" i="13" s="1"/>
  <c r="D139" i="13" s="1"/>
  <c r="D136" i="18" l="1"/>
  <c r="D141" i="18"/>
  <c r="D143" i="18" s="1"/>
  <c r="J136" i="18"/>
  <c r="J141" i="18"/>
  <c r="J143" i="18" s="1"/>
  <c r="J133" i="18"/>
  <c r="L13" i="18" s="1"/>
  <c r="J13" i="18"/>
  <c r="D133" i="18"/>
  <c r="L12" i="18" s="1"/>
  <c r="J12" i="18"/>
  <c r="J137" i="12"/>
  <c r="J138" i="12" s="1"/>
  <c r="J144" i="12"/>
  <c r="D144" i="12"/>
  <c r="D137" i="12"/>
  <c r="D138" i="12" s="1"/>
  <c r="D139" i="12" s="1"/>
  <c r="J137" i="18" l="1"/>
  <c r="J138" i="18" s="1"/>
  <c r="J144" i="18"/>
  <c r="D144" i="18"/>
  <c r="D137" i="18"/>
  <c r="D138" i="18"/>
  <c r="D139" i="18" s="1"/>
  <c r="J139" i="12"/>
  <c r="D58" i="12"/>
  <c r="J172" i="9"/>
  <c r="J171" i="9"/>
  <c r="J170" i="9"/>
  <c r="D170" i="9"/>
  <c r="J169" i="9"/>
  <c r="D169" i="9"/>
  <c r="D172" i="9" s="1"/>
  <c r="J150" i="9"/>
  <c r="D150" i="9"/>
  <c r="L149" i="9"/>
  <c r="L158" i="9" s="1"/>
  <c r="L159" i="9" s="1"/>
  <c r="F149" i="9"/>
  <c r="F158" i="9" s="1"/>
  <c r="F159" i="9" s="1"/>
  <c r="J142" i="9"/>
  <c r="D142" i="9"/>
  <c r="J124" i="9"/>
  <c r="D124" i="9"/>
  <c r="J121" i="9"/>
  <c r="D121" i="9"/>
  <c r="J100" i="9"/>
  <c r="D100" i="9"/>
  <c r="D54" i="9"/>
  <c r="D53" i="9"/>
  <c r="D84" i="9" s="1"/>
  <c r="D51" i="9"/>
  <c r="J152" i="9" s="1"/>
  <c r="D39" i="9"/>
  <c r="I38" i="9"/>
  <c r="J38" i="9" s="1"/>
  <c r="D38" i="9"/>
  <c r="I37" i="9"/>
  <c r="J69" i="9" s="1"/>
  <c r="J75" i="9" s="1"/>
  <c r="J81" i="9" s="1"/>
  <c r="D37" i="9"/>
  <c r="I36" i="9"/>
  <c r="J68" i="9" s="1"/>
  <c r="J74" i="9" s="1"/>
  <c r="J80" i="9" s="1"/>
  <c r="D36" i="9"/>
  <c r="I35" i="9"/>
  <c r="J35" i="9" s="1"/>
  <c r="D35" i="9"/>
  <c r="I34" i="9"/>
  <c r="J34" i="9" s="1"/>
  <c r="D34" i="9"/>
  <c r="D33" i="9"/>
  <c r="J7" i="9" s="1"/>
  <c r="I31" i="9"/>
  <c r="D70" i="9" s="1"/>
  <c r="D76" i="9" s="1"/>
  <c r="I30" i="9"/>
  <c r="D69" i="9" s="1"/>
  <c r="D75" i="9" s="1"/>
  <c r="I29" i="9"/>
  <c r="J29" i="9" s="1"/>
  <c r="I28" i="9"/>
  <c r="D67" i="9" s="1"/>
  <c r="D73" i="9" s="1"/>
  <c r="Q25" i="9"/>
  <c r="P25" i="9"/>
  <c r="J22" i="9"/>
  <c r="D171" i="9" s="1"/>
  <c r="D15" i="9"/>
  <c r="D13" i="9"/>
  <c r="D8" i="9"/>
  <c r="E3" i="9"/>
  <c r="J171" i="8"/>
  <c r="J170" i="8"/>
  <c r="D170" i="8"/>
  <c r="J169" i="8"/>
  <c r="J172" i="8" s="1"/>
  <c r="D169" i="8"/>
  <c r="D172" i="8" s="1"/>
  <c r="F158" i="8"/>
  <c r="F159" i="8" s="1"/>
  <c r="J150" i="8"/>
  <c r="D150" i="8"/>
  <c r="L149" i="8"/>
  <c r="L158" i="8" s="1"/>
  <c r="L159" i="8" s="1"/>
  <c r="F149" i="8"/>
  <c r="J142" i="8"/>
  <c r="D142" i="8"/>
  <c r="J124" i="8"/>
  <c r="D124" i="8"/>
  <c r="J121" i="8"/>
  <c r="J123" i="8" s="1"/>
  <c r="D121" i="8"/>
  <c r="D123" i="8" s="1"/>
  <c r="J100" i="8"/>
  <c r="D100" i="8"/>
  <c r="D54" i="8"/>
  <c r="D53" i="8"/>
  <c r="D84" i="8" s="1"/>
  <c r="D51" i="8"/>
  <c r="D39" i="8"/>
  <c r="I38" i="8"/>
  <c r="J70" i="8" s="1"/>
  <c r="J76" i="8" s="1"/>
  <c r="J82" i="8" s="1"/>
  <c r="D38" i="8"/>
  <c r="I37" i="8"/>
  <c r="J37" i="8" s="1"/>
  <c r="D37" i="8"/>
  <c r="I36" i="8"/>
  <c r="J36" i="8" s="1"/>
  <c r="D36" i="8"/>
  <c r="D35" i="8"/>
  <c r="D34" i="8"/>
  <c r="D33" i="8"/>
  <c r="I31" i="8"/>
  <c r="J31" i="8" s="1"/>
  <c r="I30" i="8"/>
  <c r="D69" i="8" s="1"/>
  <c r="D75" i="8" s="1"/>
  <c r="I29" i="8"/>
  <c r="J29" i="8" s="1"/>
  <c r="H27" i="8"/>
  <c r="Q25" i="8"/>
  <c r="P25" i="8"/>
  <c r="J22" i="8"/>
  <c r="D171" i="8" s="1"/>
  <c r="D15" i="8"/>
  <c r="D13" i="8"/>
  <c r="D8" i="8"/>
  <c r="J66" i="8" s="1"/>
  <c r="J72" i="8" s="1"/>
  <c r="J78" i="8" s="1"/>
  <c r="E3" i="8"/>
  <c r="H27" i="6"/>
  <c r="I36" i="6"/>
  <c r="J36" i="6" s="1"/>
  <c r="I34" i="6"/>
  <c r="I35" i="6" s="1"/>
  <c r="Q25" i="6"/>
  <c r="J22" i="6"/>
  <c r="D171" i="6" s="1"/>
  <c r="D33" i="6"/>
  <c r="J7" i="6" s="1"/>
  <c r="D39" i="6"/>
  <c r="D38" i="6"/>
  <c r="D37" i="6"/>
  <c r="D36" i="6"/>
  <c r="D35" i="6"/>
  <c r="D34" i="6"/>
  <c r="D15" i="6"/>
  <c r="D13" i="6"/>
  <c r="D8" i="6"/>
  <c r="P25" i="6"/>
  <c r="J171" i="6"/>
  <c r="J170" i="6"/>
  <c r="D170" i="6"/>
  <c r="J169" i="6"/>
  <c r="J172" i="6" s="1"/>
  <c r="D169" i="6"/>
  <c r="D172" i="6" s="1"/>
  <c r="J150" i="6"/>
  <c r="D150" i="6"/>
  <c r="L149" i="6"/>
  <c r="L158" i="6" s="1"/>
  <c r="L159" i="6" s="1"/>
  <c r="F149" i="6"/>
  <c r="F158" i="6" s="1"/>
  <c r="F159" i="6" s="1"/>
  <c r="J142" i="6"/>
  <c r="D142" i="6"/>
  <c r="J124" i="6"/>
  <c r="D124" i="6"/>
  <c r="J121" i="6"/>
  <c r="D121" i="6"/>
  <c r="D123" i="6" s="1"/>
  <c r="J100" i="6"/>
  <c r="D100" i="6"/>
  <c r="D54" i="6"/>
  <c r="D84" i="6" s="1"/>
  <c r="D53" i="6"/>
  <c r="D51" i="6"/>
  <c r="I38" i="6"/>
  <c r="J70" i="6" s="1"/>
  <c r="J76" i="6" s="1"/>
  <c r="J82" i="6" s="1"/>
  <c r="I37" i="6"/>
  <c r="I31" i="6"/>
  <c r="D70" i="6" s="1"/>
  <c r="D76" i="6" s="1"/>
  <c r="I30" i="6"/>
  <c r="D69" i="6" s="1"/>
  <c r="D75" i="6" s="1"/>
  <c r="I29" i="6"/>
  <c r="J29" i="6" s="1"/>
  <c r="I28" i="6"/>
  <c r="J28" i="6" s="1"/>
  <c r="E3" i="6"/>
  <c r="J139" i="18" l="1"/>
  <c r="D58" i="18"/>
  <c r="D101" i="9"/>
  <c r="J127" i="9" s="1"/>
  <c r="I27" i="8"/>
  <c r="D68" i="9"/>
  <c r="D74" i="9" s="1"/>
  <c r="D80" i="9" s="1"/>
  <c r="J28" i="9"/>
  <c r="J68" i="8"/>
  <c r="J74" i="8" s="1"/>
  <c r="J80" i="8" s="1"/>
  <c r="D125" i="8"/>
  <c r="J69" i="8"/>
  <c r="J75" i="8" s="1"/>
  <c r="J81" i="8" s="1"/>
  <c r="J36" i="9"/>
  <c r="J67" i="9"/>
  <c r="J73" i="9" s="1"/>
  <c r="J79" i="9" s="1"/>
  <c r="J70" i="9"/>
  <c r="J76" i="9" s="1"/>
  <c r="J82" i="9" s="1"/>
  <c r="J101" i="8"/>
  <c r="J103" i="8" s="1"/>
  <c r="D82" i="9"/>
  <c r="D96" i="9"/>
  <c r="J96" i="9"/>
  <c r="D97" i="9"/>
  <c r="J97" i="9"/>
  <c r="D11" i="9"/>
  <c r="J122" i="9" s="1"/>
  <c r="I27" i="9"/>
  <c r="D66" i="9" s="1"/>
  <c r="D72" i="9" s="1"/>
  <c r="D78" i="9" s="1"/>
  <c r="J58" i="9"/>
  <c r="J173" i="9"/>
  <c r="J174" i="9" s="1"/>
  <c r="J175" i="9" s="1"/>
  <c r="J37" i="9"/>
  <c r="J66" i="9"/>
  <c r="J72" i="9" s="1"/>
  <c r="J78" i="9" s="1"/>
  <c r="D123" i="9"/>
  <c r="D125" i="9" s="1"/>
  <c r="D79" i="9"/>
  <c r="J123" i="9"/>
  <c r="J125" i="9" s="1"/>
  <c r="J30" i="9"/>
  <c r="D50" i="9"/>
  <c r="J55" i="9" s="1"/>
  <c r="J31" i="9"/>
  <c r="D52" i="9"/>
  <c r="D81" i="9"/>
  <c r="J101" i="9"/>
  <c r="D50" i="8"/>
  <c r="J55" i="8" s="1"/>
  <c r="J67" i="8"/>
  <c r="J73" i="8" s="1"/>
  <c r="J79" i="8" s="1"/>
  <c r="J35" i="8"/>
  <c r="D101" i="8"/>
  <c r="J30" i="8"/>
  <c r="D68" i="8"/>
  <c r="D74" i="8" s="1"/>
  <c r="D80" i="8" s="1"/>
  <c r="J97" i="8"/>
  <c r="D52" i="8"/>
  <c r="J125" i="8"/>
  <c r="D70" i="8"/>
  <c r="D76" i="8" s="1"/>
  <c r="D82" i="8" s="1"/>
  <c r="D96" i="8"/>
  <c r="J96" i="8"/>
  <c r="J58" i="8"/>
  <c r="J173" i="8"/>
  <c r="J174" i="8" s="1"/>
  <c r="J175" i="8" s="1"/>
  <c r="J38" i="8"/>
  <c r="D81" i="8"/>
  <c r="J152" i="8"/>
  <c r="J7" i="8"/>
  <c r="D97" i="8"/>
  <c r="D11" i="8"/>
  <c r="J122" i="8" s="1"/>
  <c r="J34" i="8"/>
  <c r="D50" i="6"/>
  <c r="D52" i="6"/>
  <c r="D152" i="6" s="1"/>
  <c r="I27" i="6"/>
  <c r="D66" i="6" s="1"/>
  <c r="D72" i="6" s="1"/>
  <c r="D78" i="6" s="1"/>
  <c r="D81" i="6"/>
  <c r="D82" i="6"/>
  <c r="J35" i="6"/>
  <c r="J34" i="6"/>
  <c r="J152" i="6"/>
  <c r="J67" i="6"/>
  <c r="J73" i="6" s="1"/>
  <c r="J79" i="6" s="1"/>
  <c r="J68" i="6"/>
  <c r="J74" i="6" s="1"/>
  <c r="J80" i="6" s="1"/>
  <c r="J37" i="6"/>
  <c r="D68" i="6"/>
  <c r="D74" i="6" s="1"/>
  <c r="D80" i="6" s="1"/>
  <c r="J38" i="6"/>
  <c r="J69" i="6"/>
  <c r="J75" i="6" s="1"/>
  <c r="J81" i="6" s="1"/>
  <c r="D125" i="6"/>
  <c r="J30" i="6"/>
  <c r="J31" i="6"/>
  <c r="D67" i="6"/>
  <c r="D73" i="6" s="1"/>
  <c r="D79" i="6" s="1"/>
  <c r="J123" i="6"/>
  <c r="J125" i="6" s="1"/>
  <c r="D103" i="9" l="1"/>
  <c r="J119" i="9" s="1"/>
  <c r="J120" i="9" s="1"/>
  <c r="J11" i="9" s="1"/>
  <c r="D122" i="9"/>
  <c r="J53" i="9"/>
  <c r="D135" i="9" s="1"/>
  <c r="D86" i="9"/>
  <c r="J57" i="9"/>
  <c r="J59" i="9" s="1"/>
  <c r="J60" i="9" s="1"/>
  <c r="L8" i="9" s="1"/>
  <c r="D56" i="9"/>
  <c r="J9" i="9" s="1"/>
  <c r="J176" i="9"/>
  <c r="J18" i="9" s="1"/>
  <c r="J84" i="8"/>
  <c r="J27" i="8"/>
  <c r="I28" i="8"/>
  <c r="J53" i="8" s="1"/>
  <c r="D135" i="8" s="1"/>
  <c r="D127" i="8"/>
  <c r="J176" i="8"/>
  <c r="J177" i="8" s="1"/>
  <c r="L18" i="8" s="1"/>
  <c r="D122" i="8"/>
  <c r="J27" i="9"/>
  <c r="J178" i="9"/>
  <c r="D127" i="9"/>
  <c r="J103" i="9"/>
  <c r="D152" i="9"/>
  <c r="D173" i="9"/>
  <c r="D174" i="9" s="1"/>
  <c r="D175" i="9" s="1"/>
  <c r="J84" i="9"/>
  <c r="J98" i="9"/>
  <c r="D153" i="9"/>
  <c r="J135" i="9"/>
  <c r="J56" i="9"/>
  <c r="D98" i="9"/>
  <c r="J153" i="9"/>
  <c r="D119" i="8"/>
  <c r="D56" i="8"/>
  <c r="J178" i="8"/>
  <c r="J127" i="8"/>
  <c r="D103" i="8"/>
  <c r="D66" i="8"/>
  <c r="D72" i="8" s="1"/>
  <c r="D78" i="8" s="1"/>
  <c r="D153" i="8"/>
  <c r="J98" i="8"/>
  <c r="J153" i="8"/>
  <c r="D98" i="8"/>
  <c r="J56" i="8"/>
  <c r="J135" i="8"/>
  <c r="D152" i="8"/>
  <c r="D173" i="8"/>
  <c r="D174" i="8" s="1"/>
  <c r="D175" i="8" s="1"/>
  <c r="D176" i="8" s="1"/>
  <c r="J27" i="6"/>
  <c r="D86" i="6"/>
  <c r="D57" i="9" l="1"/>
  <c r="L9" i="9" s="1"/>
  <c r="J177" i="9"/>
  <c r="L18" i="9" s="1"/>
  <c r="J54" i="9"/>
  <c r="J8" i="9"/>
  <c r="D67" i="8"/>
  <c r="D73" i="8" s="1"/>
  <c r="D79" i="8" s="1"/>
  <c r="D86" i="8" s="1"/>
  <c r="J54" i="8" s="1"/>
  <c r="J28" i="8"/>
  <c r="D120" i="8"/>
  <c r="J18" i="8"/>
  <c r="D176" i="9"/>
  <c r="D178" i="9"/>
  <c r="D119" i="9"/>
  <c r="D120" i="9" s="1"/>
  <c r="D99" i="9"/>
  <c r="J151" i="9" s="1"/>
  <c r="J99" i="9"/>
  <c r="D151" i="9" s="1"/>
  <c r="J19" i="9"/>
  <c r="J179" i="9"/>
  <c r="L19" i="9" s="1"/>
  <c r="J99" i="8"/>
  <c r="D151" i="8" s="1"/>
  <c r="J119" i="8"/>
  <c r="J120" i="8" s="1"/>
  <c r="J11" i="8" s="1"/>
  <c r="J179" i="8"/>
  <c r="L19" i="8" s="1"/>
  <c r="J19" i="8"/>
  <c r="J9" i="8"/>
  <c r="D57" i="8"/>
  <c r="L9" i="8" s="1"/>
  <c r="D177" i="8"/>
  <c r="L15" i="8" s="1"/>
  <c r="J15" i="8"/>
  <c r="D99" i="8"/>
  <c r="J151" i="8" s="1"/>
  <c r="D178" i="8"/>
  <c r="I28" i="1"/>
  <c r="I29" i="1" s="1"/>
  <c r="J57" i="8" l="1"/>
  <c r="J59" i="8" s="1"/>
  <c r="J8" i="8" s="1"/>
  <c r="J154" i="9"/>
  <c r="D154" i="9"/>
  <c r="J16" i="9"/>
  <c r="D179" i="9"/>
  <c r="L16" i="9" s="1"/>
  <c r="J15" i="9"/>
  <c r="D177" i="9"/>
  <c r="L15" i="9" s="1"/>
  <c r="J154" i="8"/>
  <c r="J16" i="8"/>
  <c r="D179" i="8"/>
  <c r="L16" i="8" s="1"/>
  <c r="D154" i="8"/>
  <c r="D155" i="8" s="1"/>
  <c r="D156" i="8" s="1"/>
  <c r="D157" i="8" s="1"/>
  <c r="J150" i="1"/>
  <c r="D100" i="1"/>
  <c r="I34" i="1"/>
  <c r="I35" i="1" l="1"/>
  <c r="J60" i="8"/>
  <c r="L8" i="8" s="1"/>
  <c r="D155" i="9"/>
  <c r="D156" i="9" s="1"/>
  <c r="D157" i="9" s="1"/>
  <c r="J155" i="9"/>
  <c r="J156" i="9" s="1"/>
  <c r="J157" i="9" s="1"/>
  <c r="D159" i="8"/>
  <c r="D102" i="8" s="1"/>
  <c r="D158" i="8"/>
  <c r="D129" i="8" s="1"/>
  <c r="D130" i="8" s="1"/>
  <c r="J155" i="8"/>
  <c r="J156" i="8" s="1"/>
  <c r="J157" i="8" s="1"/>
  <c r="D124" i="1"/>
  <c r="J124" i="1"/>
  <c r="J159" i="9" l="1"/>
  <c r="J102" i="9" s="1"/>
  <c r="J158" i="9"/>
  <c r="J129" i="9" s="1"/>
  <c r="J130" i="9" s="1"/>
  <c r="D159" i="9"/>
  <c r="D102" i="9" s="1"/>
  <c r="D158" i="9"/>
  <c r="D129" i="9" s="1"/>
  <c r="D130" i="9" s="1"/>
  <c r="J159" i="8"/>
  <c r="J102" i="8" s="1"/>
  <c r="D134" i="8" s="1"/>
  <c r="J158" i="8"/>
  <c r="J129" i="8" s="1"/>
  <c r="J130" i="8" s="1"/>
  <c r="J131" i="8"/>
  <c r="J126" i="8"/>
  <c r="J128" i="8" s="1"/>
  <c r="D104" i="8"/>
  <c r="D105" i="8" s="1"/>
  <c r="J152" i="1"/>
  <c r="J126" i="9" l="1"/>
  <c r="J128" i="9" s="1"/>
  <c r="J131" i="9"/>
  <c r="J132" i="9" s="1"/>
  <c r="D104" i="9"/>
  <c r="D105" i="9" s="1"/>
  <c r="J134" i="9"/>
  <c r="D134" i="9"/>
  <c r="D126" i="9"/>
  <c r="D128" i="9" s="1"/>
  <c r="D131" i="9"/>
  <c r="D132" i="9" s="1"/>
  <c r="J104" i="9"/>
  <c r="J105" i="9" s="1"/>
  <c r="J132" i="8"/>
  <c r="J134" i="8"/>
  <c r="D136" i="8"/>
  <c r="D141" i="8"/>
  <c r="D143" i="8" s="1"/>
  <c r="D126" i="8"/>
  <c r="D128" i="8" s="1"/>
  <c r="D131" i="8"/>
  <c r="D132" i="8" s="1"/>
  <c r="J104" i="8"/>
  <c r="J105" i="8" s="1"/>
  <c r="J173" i="1"/>
  <c r="D101" i="1"/>
  <c r="D103" i="1" s="1"/>
  <c r="J119" i="1" s="1"/>
  <c r="D133" i="9" l="1"/>
  <c r="L12" i="9" s="1"/>
  <c r="J12" i="9"/>
  <c r="J133" i="9"/>
  <c r="L13" i="9" s="1"/>
  <c r="J13" i="9"/>
  <c r="D136" i="9"/>
  <c r="D141" i="9"/>
  <c r="D143" i="9" s="1"/>
  <c r="J136" i="9"/>
  <c r="J141" i="9"/>
  <c r="J143" i="9" s="1"/>
  <c r="J12" i="8"/>
  <c r="D133" i="8"/>
  <c r="L12" i="8" s="1"/>
  <c r="J136" i="8"/>
  <c r="J141" i="8"/>
  <c r="J143" i="8" s="1"/>
  <c r="D137" i="8"/>
  <c r="D138" i="8" s="1"/>
  <c r="D139" i="8" s="1"/>
  <c r="J133" i="8"/>
  <c r="L13" i="8" s="1"/>
  <c r="J13" i="8"/>
  <c r="J58" i="1"/>
  <c r="D96" i="1"/>
  <c r="J96" i="1"/>
  <c r="D97" i="1"/>
  <c r="J97" i="1"/>
  <c r="J100" i="1"/>
  <c r="J101" i="1"/>
  <c r="J103" i="1" s="1"/>
  <c r="J121" i="1"/>
  <c r="J123" i="1" s="1"/>
  <c r="J125" i="1" s="1"/>
  <c r="D121" i="1"/>
  <c r="D123" i="1" s="1"/>
  <c r="J127" i="1"/>
  <c r="D150" i="1"/>
  <c r="D169" i="1"/>
  <c r="D172" i="1" s="1"/>
  <c r="J169" i="1"/>
  <c r="J172" i="1" s="1"/>
  <c r="J174" i="1" s="1"/>
  <c r="J170" i="1"/>
  <c r="J144" i="9" l="1"/>
  <c r="D144" i="9"/>
  <c r="J137" i="9"/>
  <c r="J138" i="9" s="1"/>
  <c r="D137" i="9"/>
  <c r="D138" i="9" s="1"/>
  <c r="D139" i="9" s="1"/>
  <c r="J144" i="8"/>
  <c r="D144" i="8"/>
  <c r="J137" i="8"/>
  <c r="J138" i="8" s="1"/>
  <c r="D98" i="1"/>
  <c r="D99" i="1" s="1"/>
  <c r="J151" i="1" s="1"/>
  <c r="J153" i="1"/>
  <c r="J98" i="1"/>
  <c r="J99" i="1" s="1"/>
  <c r="D151" i="1" s="1"/>
  <c r="D125" i="1"/>
  <c r="J66" i="1"/>
  <c r="D127" i="1"/>
  <c r="J120" i="1"/>
  <c r="L149" i="1"/>
  <c r="L158" i="1" s="1"/>
  <c r="L159" i="1" s="1"/>
  <c r="D119" i="1"/>
  <c r="F149" i="1"/>
  <c r="F158" i="1" s="1"/>
  <c r="F159" i="1" s="1"/>
  <c r="D58" i="9" l="1"/>
  <c r="J139" i="9"/>
  <c r="J139" i="8"/>
  <c r="D58" i="8"/>
  <c r="D120" i="1"/>
  <c r="D67" i="1"/>
  <c r="D73" i="1" s="1"/>
  <c r="D66" i="1"/>
  <c r="D173" i="1"/>
  <c r="D174" i="1" s="1"/>
  <c r="D175" i="1" s="1"/>
  <c r="D152" i="1"/>
  <c r="D153" i="1"/>
  <c r="E3" i="1"/>
  <c r="I36" i="1"/>
  <c r="I37" i="1" s="1"/>
  <c r="D68" i="1"/>
  <c r="I30" i="1"/>
  <c r="D69" i="1" s="1"/>
  <c r="I31" i="1" l="1"/>
  <c r="D70" i="1" s="1"/>
  <c r="D76" i="1" s="1"/>
  <c r="D82" i="1" s="1"/>
  <c r="J69" i="1"/>
  <c r="J75" i="1" s="1"/>
  <c r="I38" i="1"/>
  <c r="D11" i="1" s="1"/>
  <c r="J122" i="1" s="1"/>
  <c r="J154" i="1" s="1"/>
  <c r="J155" i="1" s="1"/>
  <c r="J156" i="1" s="1"/>
  <c r="J157" i="1" s="1"/>
  <c r="J158" i="1" s="1"/>
  <c r="D72" i="1"/>
  <c r="D78" i="1" s="1"/>
  <c r="J68" i="1"/>
  <c r="J74" i="1" s="1"/>
  <c r="J80" i="1" s="1"/>
  <c r="D74" i="1"/>
  <c r="D80" i="1" s="1"/>
  <c r="D79" i="1"/>
  <c r="D75" i="1"/>
  <c r="D81" i="1" s="1"/>
  <c r="J11" i="1"/>
  <c r="D53" i="1"/>
  <c r="J70" i="1" l="1"/>
  <c r="J76" i="1" s="1"/>
  <c r="J82" i="1" s="1"/>
  <c r="D50" i="1"/>
  <c r="D176" i="1" s="1"/>
  <c r="D177" i="1" s="1"/>
  <c r="J53" i="1"/>
  <c r="D178" i="1" s="1"/>
  <c r="J67" i="1"/>
  <c r="D54" i="1"/>
  <c r="D84" i="1" s="1"/>
  <c r="D86" i="1" s="1"/>
  <c r="J34" i="1"/>
  <c r="J35" i="1"/>
  <c r="J38" i="1"/>
  <c r="J37" i="1"/>
  <c r="J30" i="1"/>
  <c r="J29" i="1"/>
  <c r="J31" i="1"/>
  <c r="D56" i="1" l="1"/>
  <c r="J9" i="1" s="1"/>
  <c r="L15" i="1"/>
  <c r="D122" i="1"/>
  <c r="D154" i="1" s="1"/>
  <c r="D155" i="1" s="1"/>
  <c r="D156" i="1" s="1"/>
  <c r="D157" i="1" s="1"/>
  <c r="D179" i="1"/>
  <c r="J55" i="1"/>
  <c r="J135" i="1" s="1"/>
  <c r="J72" i="1"/>
  <c r="J78" i="1" s="1"/>
  <c r="J36" i="1"/>
  <c r="J28" i="1"/>
  <c r="D158" i="1" l="1"/>
  <c r="D129" i="1" s="1"/>
  <c r="D130" i="1" s="1"/>
  <c r="D159" i="1"/>
  <c r="D102" i="1" s="1"/>
  <c r="D135" i="1"/>
  <c r="D57" i="1"/>
  <c r="L9" i="1" s="1"/>
  <c r="J56" i="1"/>
  <c r="J73" i="1"/>
  <c r="J79" i="1" s="1"/>
  <c r="J15" i="1"/>
  <c r="J142" i="1" l="1"/>
  <c r="D142" i="1"/>
  <c r="J81" i="1"/>
  <c r="J84" i="1" s="1"/>
  <c r="J54" i="1" s="1"/>
  <c r="L16" i="1"/>
  <c r="J16" i="1"/>
  <c r="J57" i="1" l="1"/>
  <c r="J59" i="1" s="1"/>
  <c r="J8" i="1" s="1"/>
  <c r="M9" i="1" s="1"/>
  <c r="J159" i="1"/>
  <c r="J102" i="1" s="1"/>
  <c r="J104" i="1" s="1"/>
  <c r="J105" i="1" s="1"/>
  <c r="J129" i="1"/>
  <c r="J130" i="1" s="1"/>
  <c r="J60" i="1" l="1"/>
  <c r="L8" i="1" s="1"/>
  <c r="D131" i="1"/>
  <c r="D132" i="1" s="1"/>
  <c r="D126" i="1"/>
  <c r="D128" i="1" s="1"/>
  <c r="D133" i="1" l="1"/>
  <c r="L12" i="1" s="1"/>
  <c r="J12" i="1"/>
  <c r="D104" i="1"/>
  <c r="D105" i="1" s="1"/>
  <c r="J126" i="1"/>
  <c r="J128" i="1" s="1"/>
  <c r="D134" i="1"/>
  <c r="D136" i="1" s="1"/>
  <c r="J134" i="1"/>
  <c r="J136" i="1" s="1"/>
  <c r="J131" i="1"/>
  <c r="D137" i="1" l="1"/>
  <c r="D138" i="1" s="1"/>
  <c r="D139" i="1" s="1"/>
  <c r="D141" i="1"/>
  <c r="D143" i="1" s="1"/>
  <c r="J132" i="1"/>
  <c r="J133" i="1" l="1"/>
  <c r="L13" i="1" s="1"/>
  <c r="J13" i="1"/>
  <c r="J137" i="1"/>
  <c r="J141" i="1"/>
  <c r="J143" i="1" s="1"/>
  <c r="J138" i="1" l="1"/>
  <c r="D58" i="1" s="1"/>
  <c r="J144" i="1"/>
  <c r="D144" i="1"/>
  <c r="J175" i="1"/>
  <c r="J178" i="1" s="1"/>
  <c r="J179" i="1" l="1"/>
  <c r="L19" i="1" s="1"/>
  <c r="J19" i="1"/>
  <c r="J139" i="1"/>
  <c r="J176" i="1"/>
  <c r="J177" i="1" l="1"/>
  <c r="L18" i="1" s="1"/>
  <c r="J18" i="1"/>
  <c r="D173" i="6" l="1"/>
  <c r="D174" i="6" s="1"/>
  <c r="D175" i="6" s="1"/>
  <c r="J66" i="6"/>
  <c r="J72" i="6" s="1"/>
  <c r="J78" i="6" s="1"/>
  <c r="J173" i="6"/>
  <c r="J174" i="6" s="1"/>
  <c r="J175" i="6" s="1"/>
  <c r="J55" i="6"/>
  <c r="D96" i="6"/>
  <c r="J153" i="6" s="1"/>
  <c r="D101" i="6"/>
  <c r="D103" i="6" s="1"/>
  <c r="J53" i="6"/>
  <c r="D11" i="6"/>
  <c r="D122" i="6" s="1"/>
  <c r="J58" i="6"/>
  <c r="J119" i="6" l="1"/>
  <c r="J56" i="6"/>
  <c r="J135" i="6"/>
  <c r="D135" i="6"/>
  <c r="J176" i="6"/>
  <c r="J178" i="6"/>
  <c r="J57" i="6"/>
  <c r="J59" i="6" s="1"/>
  <c r="J84" i="6"/>
  <c r="J54" i="6" s="1"/>
  <c r="D178" i="6"/>
  <c r="D176" i="6"/>
  <c r="J101" i="6"/>
  <c r="J127" i="6"/>
  <c r="J122" i="6"/>
  <c r="D97" i="6"/>
  <c r="D98" i="6" s="1"/>
  <c r="J97" i="6"/>
  <c r="J96" i="6"/>
  <c r="D56" i="6"/>
  <c r="J120" i="6" l="1"/>
  <c r="J11" i="6" s="1"/>
  <c r="D99" i="6"/>
  <c r="J151" i="6" s="1"/>
  <c r="D177" i="6"/>
  <c r="L15" i="6" s="1"/>
  <c r="J15" i="6"/>
  <c r="D57" i="6"/>
  <c r="L9" i="6" s="1"/>
  <c r="J9" i="6"/>
  <c r="J19" i="6"/>
  <c r="J179" i="6"/>
  <c r="L19" i="6" s="1"/>
  <c r="J8" i="6"/>
  <c r="J60" i="6"/>
  <c r="L8" i="6" s="1"/>
  <c r="D127" i="6"/>
  <c r="J103" i="6"/>
  <c r="D153" i="6"/>
  <c r="J98" i="6"/>
  <c r="J16" i="6"/>
  <c r="D179" i="6"/>
  <c r="L16" i="6" s="1"/>
  <c r="J18" i="6"/>
  <c r="J177" i="6"/>
  <c r="L18" i="6" s="1"/>
  <c r="J99" i="6" l="1"/>
  <c r="D151" i="6" s="1"/>
  <c r="D119" i="6"/>
  <c r="D120" i="6" s="1"/>
  <c r="J154" i="6"/>
  <c r="J155" i="6" l="1"/>
  <c r="J156" i="6" s="1"/>
  <c r="J157" i="6" s="1"/>
  <c r="D154" i="6"/>
  <c r="J158" i="6" l="1"/>
  <c r="J129" i="6" s="1"/>
  <c r="J130" i="6" s="1"/>
  <c r="J159" i="6"/>
  <c r="J102" i="6" s="1"/>
  <c r="D155" i="6"/>
  <c r="D156" i="6" s="1"/>
  <c r="D157" i="6" s="1"/>
  <c r="D158" i="6" l="1"/>
  <c r="D129" i="6" s="1"/>
  <c r="D130" i="6" s="1"/>
  <c r="D159" i="6"/>
  <c r="D102" i="6" s="1"/>
  <c r="J134" i="6" s="1"/>
  <c r="D126" i="6"/>
  <c r="D128" i="6" s="1"/>
  <c r="D131" i="6"/>
  <c r="J104" i="6"/>
  <c r="J105" i="6" s="1"/>
  <c r="J136" i="6" l="1"/>
  <c r="J141" i="6"/>
  <c r="J143" i="6" s="1"/>
  <c r="D104" i="6"/>
  <c r="D105" i="6" s="1"/>
  <c r="J126" i="6"/>
  <c r="J128" i="6" s="1"/>
  <c r="J131" i="6"/>
  <c r="J132" i="6" s="1"/>
  <c r="D132" i="6"/>
  <c r="D134" i="6"/>
  <c r="J13" i="6" l="1"/>
  <c r="J133" i="6"/>
  <c r="L13" i="6" s="1"/>
  <c r="D136" i="6"/>
  <c r="D141" i="6"/>
  <c r="D143" i="6" s="1"/>
  <c r="J12" i="6"/>
  <c r="D133" i="6"/>
  <c r="L12" i="6" s="1"/>
  <c r="J144" i="6"/>
  <c r="D144" i="6"/>
  <c r="J137" i="6"/>
  <c r="J138" i="6" s="1"/>
  <c r="D58" i="6" l="1"/>
  <c r="J139" i="6"/>
  <c r="D137" i="6"/>
  <c r="D138" i="6" s="1"/>
  <c r="D139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Walker</author>
  </authors>
  <commentList>
    <comment ref="G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Most recent revision, now considers top and bottom reinforcement in bending design.</t>
        </r>
      </text>
    </comment>
    <comment ref="D3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Negative Moment Refers to the Moment in which the top layers of reinforcement resist tension forces.</t>
        </r>
      </text>
    </comment>
    <comment ref="D3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(+) is Compression, (-) is Tension</t>
        </r>
      </text>
    </comment>
    <comment ref="D3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Without proper analysis, 0.6M*ult is a good estimate.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Walker</author>
  </authors>
  <commentList>
    <comment ref="G3" authorId="0" shapeId="0" xr:uid="{D7CD4825-9F18-4283-BB17-9605920F30AD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Most recent revision, now considers top and bottom reinforcement in bending design.</t>
        </r>
      </text>
    </comment>
    <comment ref="D34" authorId="0" shapeId="0" xr:uid="{CEA8B059-8A8F-45CD-8789-24D5A52351EF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Negative Moment Refers to the Moment in which the top layers of reinforcement resist tension forces.</t>
        </r>
      </text>
    </comment>
    <comment ref="D35" authorId="0" shapeId="0" xr:uid="{7358F9A9-62A6-4BD9-8142-5A37AD4FE97A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(+) is Compression, (-) is Tension</t>
        </r>
      </text>
    </comment>
    <comment ref="D38" authorId="0" shapeId="0" xr:uid="{5CFFA2CC-89AB-4572-B347-77F1F52B3ED2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Without proper analysis, 0.6M*ult is a good estimate.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Walker</author>
  </authors>
  <commentList>
    <comment ref="G3" authorId="0" shapeId="0" xr:uid="{6A76A06D-A37A-4B05-8411-D541C0DA72AC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Most recent revision, now considers top and bottom reinforcement in bending design.</t>
        </r>
      </text>
    </comment>
    <comment ref="D34" authorId="0" shapeId="0" xr:uid="{12B35CA0-231D-4DB6-8C5F-30B00C7C3771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Negative Moment Refers to the Moment in which the top layers of reinforcement resist tension forces.</t>
        </r>
      </text>
    </comment>
    <comment ref="D35" authorId="0" shapeId="0" xr:uid="{C0AF8641-3263-486C-BBDA-FF417C4B398A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(+) is Compression, (-) is Tension</t>
        </r>
      </text>
    </comment>
    <comment ref="D38" authorId="0" shapeId="0" xr:uid="{DA4A2AEC-21F5-4E2E-A71F-22C9BFF5E8B3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Without proper analysis, 0.6M*ult is a good estimate.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Walker</author>
  </authors>
  <commentList>
    <comment ref="G3" authorId="0" shapeId="0" xr:uid="{CCECEEED-D2EF-4F73-8FFA-B14D99F822FA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Most recent revision, now considers top and bottom reinforcement in bending design.</t>
        </r>
      </text>
    </comment>
    <comment ref="D34" authorId="0" shapeId="0" xr:uid="{F2D00C10-C32D-44BB-AC22-EAF0DFC22E05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Negative Moment Refers to the Moment in which the top layers of reinforcement resist tension forces.</t>
        </r>
      </text>
    </comment>
    <comment ref="D35" authorId="0" shapeId="0" xr:uid="{9488FF99-BB80-4B34-8056-F921CCDDE375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(+) is Compression, (-) is Tension</t>
        </r>
      </text>
    </comment>
    <comment ref="D38" authorId="0" shapeId="0" xr:uid="{89FB1AFA-C2E3-46A8-8078-DF1FA32C8D87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Without proper analysis, 0.6M*ult is a good estimate.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Walker</author>
  </authors>
  <commentList>
    <comment ref="G3" authorId="0" shapeId="0" xr:uid="{1D8A24E7-A070-4322-8843-C767B06313D2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Most recent revision, now considers top and bottom reinforcement in bending design.</t>
        </r>
      </text>
    </comment>
    <comment ref="D34" authorId="0" shapeId="0" xr:uid="{9E65D38E-85EC-442B-8251-B5CC3AC91E66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Negative Moment Refers to the Moment in which the top layers of reinforcement resist tension forces.</t>
        </r>
      </text>
    </comment>
    <comment ref="D35" authorId="0" shapeId="0" xr:uid="{699B4630-0E19-4FA9-AA45-E8587FD4D4D0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(+) is Compression, (-) is Tension</t>
        </r>
      </text>
    </comment>
    <comment ref="D38" authorId="0" shapeId="0" xr:uid="{39858F94-9F8C-49CC-8E5A-0A29B385E75C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Without proper analysis, 0.6M*ult is a good estimate.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Walker</author>
  </authors>
  <commentList>
    <comment ref="G3" authorId="0" shapeId="0" xr:uid="{2F5CB929-D78A-4ED9-8CBE-FFA5E4D4E5C0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Most recent revision, now considers top and bottom reinforcement in bending design.</t>
        </r>
      </text>
    </comment>
    <comment ref="D34" authorId="0" shapeId="0" xr:uid="{CF0733B4-37C8-4B0F-9BD0-06381122886A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Negative Moment Refers to the Moment in which the top layers of reinforcement resist tension forces.</t>
        </r>
      </text>
    </comment>
    <comment ref="D35" authorId="0" shapeId="0" xr:uid="{409D8C18-F396-4026-ADE3-1D9C3FAB52AE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(+) is Compression, (-) is Tension</t>
        </r>
      </text>
    </comment>
    <comment ref="D38" authorId="0" shapeId="0" xr:uid="{1C5D8F3A-F33D-483F-A378-9B256287D58E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Without proper analysis, 0.6M*ult is a good estimate.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Walker</author>
  </authors>
  <commentList>
    <comment ref="G3" authorId="0" shapeId="0" xr:uid="{AABE9345-B541-4B59-9B2B-07996B328B17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Most recent revision, now considers top and bottom reinforcement in bending design.</t>
        </r>
      </text>
    </comment>
    <comment ref="D34" authorId="0" shapeId="0" xr:uid="{3BFB98DA-6FF4-4ECE-B93E-2915F3E57966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Negative Moment Refers to the Moment in which the top layers of reinforcement resist tension forces.</t>
        </r>
      </text>
    </comment>
    <comment ref="D35" authorId="0" shapeId="0" xr:uid="{14B2FA05-AABE-441A-A69B-9AA1BC70C3A7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(+) is Compression, (-) is Tension</t>
        </r>
      </text>
    </comment>
    <comment ref="D38" authorId="0" shapeId="0" xr:uid="{D0715FC9-E49E-4BEA-8B02-C5C6007592BF}">
      <text>
        <r>
          <rPr>
            <b/>
            <sz val="9"/>
            <color indexed="81"/>
            <rFont val="Tahoma"/>
            <family val="2"/>
          </rPr>
          <t>Chris Walker:</t>
        </r>
        <r>
          <rPr>
            <sz val="9"/>
            <color indexed="81"/>
            <rFont val="Tahoma"/>
            <family val="2"/>
          </rPr>
          <t xml:space="preserve">
Without proper analysis, 0.6M*ult is a good estimate.</t>
        </r>
      </text>
    </comment>
  </commentList>
</comments>
</file>

<file path=xl/sharedStrings.xml><?xml version="1.0" encoding="utf-8"?>
<sst xmlns="http://schemas.openxmlformats.org/spreadsheetml/2006/main" count="4880" uniqueCount="340">
  <si>
    <t>Input Data</t>
  </si>
  <si>
    <t>d=</t>
  </si>
  <si>
    <t>mm</t>
  </si>
  <si>
    <t>b=</t>
  </si>
  <si>
    <t>Concrete Density</t>
  </si>
  <si>
    <r>
      <t>kN/m</t>
    </r>
    <r>
      <rPr>
        <vertAlign val="superscript"/>
        <sz val="12"/>
        <rFont val="Arial"/>
        <family val="2"/>
      </rPr>
      <t>3</t>
    </r>
  </si>
  <si>
    <t>Moment Reinforcement</t>
  </si>
  <si>
    <t>Cover (top)</t>
  </si>
  <si>
    <t>c=</t>
  </si>
  <si>
    <t>[cl.4.10.3.2]</t>
  </si>
  <si>
    <t>Cover (bot)</t>
  </si>
  <si>
    <t>Steel Diam (top)</t>
  </si>
  <si>
    <t>dt=</t>
  </si>
  <si>
    <t>Steel Diam (bot)</t>
  </si>
  <si>
    <t>db=</t>
  </si>
  <si>
    <t>Shear Reinforcement</t>
  </si>
  <si>
    <t>Shear Steel Diam.</t>
  </si>
  <si>
    <t>ds=</t>
  </si>
  <si>
    <t>Spacing</t>
  </si>
  <si>
    <t>s=</t>
  </si>
  <si>
    <t>Pairs(2) or Singles (1)</t>
  </si>
  <si>
    <t>[cl.8.2.7.1]</t>
  </si>
  <si>
    <t>Material Properties</t>
  </si>
  <si>
    <t>Concrete Strength</t>
  </si>
  <si>
    <t>f'c=</t>
  </si>
  <si>
    <t>MPa</t>
  </si>
  <si>
    <t>Steel Yield Capacity (top)</t>
  </si>
  <si>
    <t>fsy=</t>
  </si>
  <si>
    <t>[Table 3.2.1]</t>
  </si>
  <si>
    <t>Steel Yield Capacity (bot)</t>
  </si>
  <si>
    <t>Mod of Elas. for Reo.</t>
  </si>
  <si>
    <t>Es=</t>
  </si>
  <si>
    <t>[cl.3.2.2]</t>
  </si>
  <si>
    <t>Design Factors</t>
  </si>
  <si>
    <t>Moment  Factor</t>
  </si>
  <si>
    <r>
      <t>f</t>
    </r>
    <r>
      <rPr>
        <sz val="12"/>
        <rFont val="Arial"/>
        <family val="2"/>
      </rPr>
      <t>=</t>
    </r>
  </si>
  <si>
    <t>[Table 2.2.2]</t>
  </si>
  <si>
    <t>Structural Analysis Data</t>
  </si>
  <si>
    <t>Pos. Design Moment</t>
  </si>
  <si>
    <t>M*+=</t>
  </si>
  <si>
    <t>kN.m</t>
  </si>
  <si>
    <t>[Structural Analysis]</t>
  </si>
  <si>
    <t>Neg. Design Moment</t>
  </si>
  <si>
    <t>M*-=</t>
  </si>
  <si>
    <t>Design Shear</t>
  </si>
  <si>
    <t>V*=</t>
  </si>
  <si>
    <t>kN</t>
  </si>
  <si>
    <t>M*+ for Service</t>
  </si>
  <si>
    <t>M*- for Service</t>
  </si>
  <si>
    <t>Design Torsion</t>
  </si>
  <si>
    <t>T*=</t>
  </si>
  <si>
    <t>1. Ultimate Bending</t>
  </si>
  <si>
    <t xml:space="preserve"> </t>
  </si>
  <si>
    <t>No. Bars</t>
  </si>
  <si>
    <t>Distance to Tensile Reo.</t>
  </si>
  <si>
    <t>Ast=</t>
  </si>
  <si>
    <t>mm^2</t>
  </si>
  <si>
    <t>Compression Coefficient</t>
  </si>
  <si>
    <t>α2</t>
  </si>
  <si>
    <t>[Cl. 8.1.3]</t>
  </si>
  <si>
    <t>Stress Block Ratio</t>
  </si>
  <si>
    <t>g=</t>
  </si>
  <si>
    <t>Neutral Axis Parameter</t>
  </si>
  <si>
    <t>Check that ku&lt;0.36</t>
  </si>
  <si>
    <t>[if not OK cl.8.1.5]</t>
  </si>
  <si>
    <t>Min. Area of Steel</t>
  </si>
  <si>
    <t>Ast.min=</t>
  </si>
  <si>
    <t>[Refer Formula 8.1.6.1(2)]</t>
  </si>
  <si>
    <t>Check Ast&gt;Ast,min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</si>
  <si>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</si>
  <si>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t>f</t>
    </r>
    <r>
      <rPr>
        <sz val="12"/>
        <rFont val="Arial"/>
        <family val="2"/>
      </rPr>
      <t>M=</t>
    </r>
  </si>
  <si>
    <r>
      <t xml:space="preserve">Check </t>
    </r>
    <r>
      <rPr>
        <sz val="12"/>
        <rFont val="Math A"/>
        <family val="1"/>
        <charset val="2"/>
      </rPr>
      <t>f</t>
    </r>
    <r>
      <rPr>
        <sz val="12"/>
        <rFont val="Arial"/>
        <family val="2"/>
      </rPr>
      <t>M&gt;M*</t>
    </r>
  </si>
  <si>
    <t>dt</t>
  </si>
  <si>
    <t>No. * dt</t>
  </si>
  <si>
    <t>dt- distance b/n bar group centres</t>
  </si>
  <si>
    <t>Factored Vu max</t>
  </si>
  <si>
    <r>
      <rPr>
        <sz val="12"/>
        <rFont val="Calibri"/>
        <family val="2"/>
      </rPr>
      <t>ɸ</t>
    </r>
    <r>
      <rPr>
        <sz val="12"/>
        <rFont val="Arial"/>
        <family val="2"/>
      </rPr>
      <t>Vu.max=</t>
    </r>
  </si>
  <si>
    <t>Ult. V exclud. Shear Reo.</t>
  </si>
  <si>
    <t>ɸVuc=</t>
  </si>
  <si>
    <t>Shear Angle</t>
  </si>
  <si>
    <r>
      <t xml:space="preserve"> q</t>
    </r>
    <r>
      <rPr>
        <sz val="12"/>
        <rFont val="Arial"/>
        <family val="2"/>
      </rPr>
      <t xml:space="preserve"> =</t>
    </r>
  </si>
  <si>
    <t>Degrees</t>
  </si>
  <si>
    <t>Asv=</t>
  </si>
  <si>
    <t>Min. Area of Shear Reo.</t>
  </si>
  <si>
    <t>Asvmin=</t>
  </si>
  <si>
    <t>Check Asv&gt;Asv.min</t>
  </si>
  <si>
    <t>Ult. V of Shear Reo.</t>
  </si>
  <si>
    <t>ɸVus=</t>
  </si>
  <si>
    <t>[cl.8.2.10]</t>
  </si>
  <si>
    <t>Factored Shear</t>
  </si>
  <si>
    <r>
      <t>f</t>
    </r>
    <r>
      <rPr>
        <sz val="12"/>
        <rFont val="Arial"/>
        <family val="2"/>
      </rPr>
      <t>V=</t>
    </r>
  </si>
  <si>
    <t>[cl.8.2.2]</t>
  </si>
  <si>
    <t>2. Ultimate Torsion</t>
  </si>
  <si>
    <t>[cl.8.2.1.2]</t>
  </si>
  <si>
    <t>Torsional Cracking Moment</t>
  </si>
  <si>
    <r>
      <t>Check 0.25</t>
    </r>
    <r>
      <rPr>
        <sz val="12"/>
        <rFont val="Calibri"/>
        <family val="2"/>
      </rPr>
      <t>Φ</t>
    </r>
    <r>
      <rPr>
        <sz val="12"/>
        <rFont val="Arial"/>
        <family val="2"/>
      </rPr>
      <t>Tcr&gt;T*</t>
    </r>
  </si>
  <si>
    <t>[Consideration of Torsion]</t>
  </si>
  <si>
    <t>D=</t>
  </si>
  <si>
    <t>3. Ultimate Shear</t>
  </si>
  <si>
    <t>Assumptions</t>
  </si>
  <si>
    <t>- No prestress used in design</t>
  </si>
  <si>
    <t>Area of Closed Fitments</t>
  </si>
  <si>
    <t>Steel Fitment Yield Capacity</t>
  </si>
  <si>
    <t>fsy.f=</t>
  </si>
  <si>
    <t>V*eq</t>
  </si>
  <si>
    <t>Ao</t>
  </si>
  <si>
    <t>Area enclosed by shear flow</t>
  </si>
  <si>
    <t>Design dimension</t>
  </si>
  <si>
    <t>[cl.8.2.5.5]</t>
  </si>
  <si>
    <t>- Side clear cover is the same as top and bottom</t>
  </si>
  <si>
    <t>Area enclosed by centreline of Torsion Reinforcement</t>
  </si>
  <si>
    <t>Aoh=</t>
  </si>
  <si>
    <t>Torsional resistance from reo</t>
  </si>
  <si>
    <t>Tus=</t>
  </si>
  <si>
    <t>Acp=</t>
  </si>
  <si>
    <t>ue=</t>
  </si>
  <si>
    <t>Tcr=</t>
  </si>
  <si>
    <t>Asw=</t>
  </si>
  <si>
    <t>y1=</t>
  </si>
  <si>
    <t>[cl.8.2.5.6]</t>
  </si>
  <si>
    <t>- Ao currently calculated as per AS5100.5 - Cl 8.2.5.6 (Ao = 0.85Aoh) until AS3600 defines Ao</t>
  </si>
  <si>
    <t>Check min Torsional Reo req.</t>
  </si>
  <si>
    <t>[cl. 8.2.4.3]</t>
  </si>
  <si>
    <t xml:space="preserve">Torsional Steel Diameter </t>
  </si>
  <si>
    <t>ρ=</t>
  </si>
  <si>
    <t>Gross Area</t>
  </si>
  <si>
    <t>Perimeter of section</t>
  </si>
  <si>
    <t>bv</t>
  </si>
  <si>
    <t>Effective web width</t>
  </si>
  <si>
    <t xml:space="preserve"> mm</t>
  </si>
  <si>
    <t>[cl.8.2.1.5]</t>
  </si>
  <si>
    <t>[cl.8.2.1.7]</t>
  </si>
  <si>
    <t>Effective shear depth</t>
  </si>
  <si>
    <t>dv</t>
  </si>
  <si>
    <t>Effective Depth</t>
  </si>
  <si>
    <t>[cl.8.2.3.3]</t>
  </si>
  <si>
    <t>Check Combined V* &amp; T* in Web Crushing</t>
  </si>
  <si>
    <t>[cl.8.2.1.2] - AS5100.5</t>
  </si>
  <si>
    <t>Shear Parameter</t>
  </si>
  <si>
    <t>kv=</t>
  </si>
  <si>
    <t>[cl.8.2.4.3]</t>
  </si>
  <si>
    <t>Shear reinforcement area</t>
  </si>
  <si>
    <t>[cl.8.2.4.1]</t>
  </si>
  <si>
    <r>
      <t xml:space="preserve">Check </t>
    </r>
    <r>
      <rPr>
        <sz val="12"/>
        <rFont val="Math A"/>
        <family val="1"/>
        <charset val="2"/>
      </rPr>
      <t>f</t>
    </r>
    <r>
      <rPr>
        <sz val="12"/>
        <rFont val="Arial"/>
        <family val="2"/>
      </rPr>
      <t>V&gt;V*eq</t>
    </r>
  </si>
  <si>
    <t>- When designing for shear take note of the effects of cl 8.2.3.2, cl 8.2.4.4, &amp; cl 8.2.4.5 of AS3600 - 2018</t>
  </si>
  <si>
    <t>Shear &amp; Torsion Factor</t>
  </si>
  <si>
    <t>Mod. of Elas. for Conc.</t>
  </si>
  <si>
    <t>Ec=</t>
  </si>
  <si>
    <t>max fc (0.6f'c)</t>
  </si>
  <si>
    <t>fc.max=</t>
  </si>
  <si>
    <t>[cl.8.1.4.2]</t>
  </si>
  <si>
    <t>max fs</t>
  </si>
  <si>
    <t>fs.max=</t>
  </si>
  <si>
    <t>n=</t>
  </si>
  <si>
    <t>p=</t>
  </si>
  <si>
    <t>k=</t>
  </si>
  <si>
    <t>j=</t>
  </si>
  <si>
    <t>fc=</t>
  </si>
  <si>
    <t>Check fc&lt;fc.max</t>
  </si>
  <si>
    <t>fs=</t>
  </si>
  <si>
    <t>Check fs&lt;fs.max</t>
  </si>
  <si>
    <t>Neutral axis parameter</t>
  </si>
  <si>
    <t>Steel reinforcement ratio</t>
  </si>
  <si>
    <t>Modulus of Elasticity Ratio</t>
  </si>
  <si>
    <t>4. Serviceability - Crack Control</t>
  </si>
  <si>
    <t>Design Summary</t>
  </si>
  <si>
    <t>Min Ast=</t>
  </si>
  <si>
    <t>mm2</t>
  </si>
  <si>
    <t>Shear</t>
  </si>
  <si>
    <r>
      <t>f</t>
    </r>
    <r>
      <rPr>
        <sz val="12"/>
        <rFont val="Arial"/>
        <family val="2"/>
      </rPr>
      <t>V top=</t>
    </r>
  </si>
  <si>
    <r>
      <t>f</t>
    </r>
    <r>
      <rPr>
        <sz val="12"/>
        <rFont val="Arial"/>
        <family val="2"/>
      </rPr>
      <t>V bot=</t>
    </r>
  </si>
  <si>
    <t>V*eq=</t>
  </si>
  <si>
    <t>Top Layers</t>
  </si>
  <si>
    <t>Bottom Layers</t>
  </si>
  <si>
    <t>Beam Dimensions</t>
  </si>
  <si>
    <t xml:space="preserve"> Depth</t>
  </si>
  <si>
    <t xml:space="preserve"> Width</t>
  </si>
  <si>
    <t>Service at Top of Section</t>
  </si>
  <si>
    <t>Service at Bot. of Section</t>
  </si>
  <si>
    <t xml:space="preserve">[cl.8.2.3.4] </t>
  </si>
  <si>
    <r>
      <t xml:space="preserve">Calculation of kv &amp; </t>
    </r>
    <r>
      <rPr>
        <b/>
        <sz val="14"/>
        <rFont val="Calibri"/>
        <family val="2"/>
      </rPr>
      <t>θ</t>
    </r>
    <r>
      <rPr>
        <b/>
        <sz val="14"/>
        <rFont val="Rockwell"/>
        <family val="1"/>
      </rPr>
      <t>v</t>
    </r>
  </si>
  <si>
    <t>Method of Analysis</t>
  </si>
  <si>
    <t>Factor Related to Agg. Size</t>
  </si>
  <si>
    <t>kdg=</t>
  </si>
  <si>
    <t>[cl.8.2.4.2.1]</t>
  </si>
  <si>
    <t>Design for Combined Shear &amp; Torsion?</t>
  </si>
  <si>
    <t>Area of Steel in Tension Chord</t>
  </si>
  <si>
    <t>[cl.8.2.4.2.2]</t>
  </si>
  <si>
    <t>Area of Concrete in Tension Chord</t>
  </si>
  <si>
    <t>Act=</t>
  </si>
  <si>
    <t>Shear Design Moment</t>
  </si>
  <si>
    <t>M*=</t>
  </si>
  <si>
    <t>kNm</t>
  </si>
  <si>
    <t>Force contributing to Strain</t>
  </si>
  <si>
    <t>R*=</t>
  </si>
  <si>
    <t>First Iteration of Strain Calculations</t>
  </si>
  <si>
    <t>εx=</t>
  </si>
  <si>
    <t>mm/mm</t>
  </si>
  <si>
    <t>Second Iteration of Strain Calculations</t>
  </si>
  <si>
    <t>A Factor</t>
  </si>
  <si>
    <t>Angle of Comp. Strut</t>
  </si>
  <si>
    <t>θv=</t>
  </si>
  <si>
    <t>°</t>
  </si>
  <si>
    <t>Additional Tension from Shear Forces</t>
  </si>
  <si>
    <t>ΔFtd=</t>
  </si>
  <si>
    <t>[cl.8.2.7]</t>
  </si>
  <si>
    <t>Lever Arm Between Coupling Action</t>
  </si>
  <si>
    <t>z=</t>
  </si>
  <si>
    <t>[Analysis]</t>
  </si>
  <si>
    <t>Forces on Flexural Tension Face</t>
  </si>
  <si>
    <t>Ttd=</t>
  </si>
  <si>
    <t>[cl.8.2.8.2]</t>
  </si>
  <si>
    <t>Capacity Reduction Factor</t>
  </si>
  <si>
    <t>Φ=</t>
  </si>
  <si>
    <t>[T2.2.2]</t>
  </si>
  <si>
    <t>Flexural Tension Reinforcement</t>
  </si>
  <si>
    <t>Reinforcement Adequate?</t>
  </si>
  <si>
    <t>Forces on Flexural Compression Face</t>
  </si>
  <si>
    <t>Tcd=</t>
  </si>
  <si>
    <t>[cl.8.2.8.3]</t>
  </si>
  <si>
    <t>Flexural Compression Reinforcement</t>
  </si>
  <si>
    <t>Asc=</t>
  </si>
  <si>
    <t>- If axial tension is large enough to crack the flexural compression face of the section, double εx</t>
  </si>
  <si>
    <t>- For rigid frames and culverts N* may be taken as double the compressive axial thrust</t>
  </si>
  <si>
    <t>Design Axial Force</t>
  </si>
  <si>
    <t>N*=</t>
  </si>
  <si>
    <t>Max Agg. Particle Size</t>
  </si>
  <si>
    <t>dg=</t>
  </si>
  <si>
    <t>Do not provide more than what is required by maximum moment in member</t>
  </si>
  <si>
    <t>Designer:</t>
  </si>
  <si>
    <t>Date:</t>
  </si>
  <si>
    <t>Last Updated:</t>
  </si>
  <si>
    <t>[Ignore if designing + &amp; - M*]</t>
  </si>
  <si>
    <t>- Assumed that shear reinforcement is always perpendicular to tensile reo (i.e. αv=90)</t>
  </si>
  <si>
    <t>Notes on Shear:</t>
  </si>
  <si>
    <t>Compression:</t>
  </si>
  <si>
    <t>Tension:</t>
  </si>
  <si>
    <t>dn=</t>
  </si>
  <si>
    <t>Limiting Steel Strain</t>
  </si>
  <si>
    <t xml:space="preserve">Limiting Concrete Strain </t>
  </si>
  <si>
    <t>Summation of Forces:</t>
  </si>
  <si>
    <t>Strain in Compression Steel Row 1</t>
  </si>
  <si>
    <t>Strain in Compression Steel Row 2</t>
  </si>
  <si>
    <t>Strain in Compression Steel Row 3</t>
  </si>
  <si>
    <t>Strain in Compression Steel Row 4</t>
  </si>
  <si>
    <t>Strain in Compression Steel Row 5</t>
  </si>
  <si>
    <t>Stress in Compression Steel Row 1</t>
  </si>
  <si>
    <t>Stress in Compression Steel Row 2</t>
  </si>
  <si>
    <t>Stress in Compression Steel Row 3</t>
  </si>
  <si>
    <t>Stress in Compression Steel Row 4</t>
  </si>
  <si>
    <t>Stress in Compression Steel Row 5</t>
  </si>
  <si>
    <t>Force in Compression Steel Row 1</t>
  </si>
  <si>
    <t>Force in Compression Steel Row 2</t>
  </si>
  <si>
    <t>Force in Compression Steel Row 3</t>
  </si>
  <si>
    <t>Force in Compression Steel Row 4</t>
  </si>
  <si>
    <t>Force in Compression Steel Row 5</t>
  </si>
  <si>
    <t>Cs1 =</t>
  </si>
  <si>
    <t>Cs2 =</t>
  </si>
  <si>
    <t>Cs3 =</t>
  </si>
  <si>
    <t>Cs4 =</t>
  </si>
  <si>
    <t>Cs5 =</t>
  </si>
  <si>
    <t>Strain in Tensile Steel Row 1</t>
  </si>
  <si>
    <t>Strain in Tensile Steel Row 2</t>
  </si>
  <si>
    <t>Strain in Tensile Steel Row 3</t>
  </si>
  <si>
    <t>Strain in Tensile Steel Row 4</t>
  </si>
  <si>
    <t>Strain in Tensile Steel Row 5</t>
  </si>
  <si>
    <t>Stress in Tensile Steel Row 1</t>
  </si>
  <si>
    <t>Stress in Tensile Steel Row 2</t>
  </si>
  <si>
    <t>Stress in Tensile Steel Row 3</t>
  </si>
  <si>
    <t>Stress in Tensile Steel Row 4</t>
  </si>
  <si>
    <t>Stress in Tensile Steel Row 5</t>
  </si>
  <si>
    <t>Force in Tensile Steel Row 1</t>
  </si>
  <si>
    <t>Force in Tensile Steel Row 2</t>
  </si>
  <si>
    <t>Force in Tensile Steel Row 3</t>
  </si>
  <si>
    <t>Force in Tensile Steel Row 4</t>
  </si>
  <si>
    <t>Force in Tensile Steel Row 5</t>
  </si>
  <si>
    <t xml:space="preserve">Force from Concrete </t>
  </si>
  <si>
    <t>Cc=</t>
  </si>
  <si>
    <t>Total compression</t>
  </si>
  <si>
    <t>C=</t>
  </si>
  <si>
    <t>Total tension</t>
  </si>
  <si>
    <t>T =</t>
  </si>
  <si>
    <r>
      <rPr>
        <sz val="12"/>
        <rFont val="Calibri"/>
        <family val="2"/>
      </rPr>
      <t>ε</t>
    </r>
    <r>
      <rPr>
        <sz val="12"/>
        <rFont val="Arial"/>
        <family val="2"/>
      </rPr>
      <t>sc1 =</t>
    </r>
  </si>
  <si>
    <r>
      <rPr>
        <sz val="12"/>
        <rFont val="Calibri"/>
        <family val="2"/>
      </rPr>
      <t>ε</t>
    </r>
    <r>
      <rPr>
        <sz val="12"/>
        <rFont val="Arial"/>
        <family val="2"/>
      </rPr>
      <t>sc2 =</t>
    </r>
  </si>
  <si>
    <r>
      <rPr>
        <sz val="12"/>
        <rFont val="Calibri"/>
        <family val="2"/>
      </rPr>
      <t>ε</t>
    </r>
    <r>
      <rPr>
        <sz val="12"/>
        <rFont val="Arial"/>
        <family val="2"/>
      </rPr>
      <t>sc3 =</t>
    </r>
  </si>
  <si>
    <r>
      <rPr>
        <sz val="12"/>
        <rFont val="Calibri"/>
        <family val="2"/>
      </rPr>
      <t>ε</t>
    </r>
    <r>
      <rPr>
        <sz val="12"/>
        <rFont val="Arial"/>
        <family val="2"/>
      </rPr>
      <t>sc4 =</t>
    </r>
  </si>
  <si>
    <r>
      <rPr>
        <sz val="12"/>
        <rFont val="Calibri"/>
        <family val="2"/>
      </rPr>
      <t>ε</t>
    </r>
    <r>
      <rPr>
        <sz val="12"/>
        <rFont val="Arial"/>
        <family val="2"/>
      </rPr>
      <t>sc5 =</t>
    </r>
  </si>
  <si>
    <r>
      <t>s</t>
    </r>
    <r>
      <rPr>
        <vertAlign val="subscript"/>
        <sz val="12"/>
        <rFont val="Arial"/>
        <family val="2"/>
      </rPr>
      <t>sc1 =</t>
    </r>
  </si>
  <si>
    <r>
      <t>s</t>
    </r>
    <r>
      <rPr>
        <vertAlign val="subscript"/>
        <sz val="12"/>
        <rFont val="Arial"/>
        <family val="2"/>
      </rPr>
      <t>sc2 =</t>
    </r>
  </si>
  <si>
    <r>
      <t>s</t>
    </r>
    <r>
      <rPr>
        <vertAlign val="subscript"/>
        <sz val="12"/>
        <rFont val="Arial"/>
        <family val="2"/>
      </rPr>
      <t>sc3 =</t>
    </r>
  </si>
  <si>
    <r>
      <t>s</t>
    </r>
    <r>
      <rPr>
        <vertAlign val="subscript"/>
        <sz val="12"/>
        <rFont val="Arial"/>
        <family val="2"/>
      </rPr>
      <t>sc4 =</t>
    </r>
  </si>
  <si>
    <r>
      <t>s</t>
    </r>
    <r>
      <rPr>
        <vertAlign val="subscript"/>
        <sz val="12"/>
        <rFont val="Arial"/>
        <family val="2"/>
      </rPr>
      <t>sc5 =</t>
    </r>
  </si>
  <si>
    <r>
      <rPr>
        <sz val="12"/>
        <rFont val="Calibri"/>
        <family val="2"/>
      </rPr>
      <t>εu</t>
    </r>
    <r>
      <rPr>
        <sz val="12"/>
        <rFont val="Arial"/>
        <family val="2"/>
      </rPr>
      <t xml:space="preserve"> =</t>
    </r>
  </si>
  <si>
    <r>
      <rPr>
        <sz val="12"/>
        <rFont val="Calibri"/>
        <family val="2"/>
      </rPr>
      <t>εsy</t>
    </r>
    <r>
      <rPr>
        <sz val="12"/>
        <rFont val="Arial"/>
        <family val="2"/>
      </rPr>
      <t xml:space="preserve"> =</t>
    </r>
  </si>
  <si>
    <t>Depth to neutral axis</t>
  </si>
  <si>
    <t>Area of Tension Steel</t>
  </si>
  <si>
    <t>Area of Compression Steel</t>
  </si>
  <si>
    <t>Asc =</t>
  </si>
  <si>
    <t>Summation of Forces</t>
  </si>
  <si>
    <t xml:space="preserve">ku = </t>
  </si>
  <si>
    <t>Working Moment</t>
  </si>
  <si>
    <t xml:space="preserve">Muo = </t>
  </si>
  <si>
    <t xml:space="preserve">(Muo)min = </t>
  </si>
  <si>
    <t>Minimum Moment</t>
  </si>
  <si>
    <t>Design Moment</t>
  </si>
  <si>
    <t>ΦMuo =</t>
  </si>
  <si>
    <t>ΣF =</t>
  </si>
  <si>
    <t>Moment Capacity</t>
  </si>
  <si>
    <t>Distance to Compressive Reinforcement</t>
  </si>
  <si>
    <t>dsc=</t>
  </si>
  <si>
    <t>Tropical, near coastal, or coastal</t>
  </si>
  <si>
    <t>Elastic Design</t>
  </si>
  <si>
    <t>Arid environment</t>
  </si>
  <si>
    <t>Interior environment</t>
  </si>
  <si>
    <t>Temperate environment</t>
  </si>
  <si>
    <t>- Top and bottom steel treated separately</t>
  </si>
  <si>
    <t xml:space="preserve">           Perimeter along CL of torsion reo                   uh=</t>
  </si>
  <si>
    <t>[Add Reo Req for V* &amp; T*]</t>
  </si>
  <si>
    <t>[Accounts for V* &amp; T*]</t>
  </si>
  <si>
    <t>[cl.8.2.1.9]</t>
  </si>
  <si>
    <t>V*</t>
  </si>
  <si>
    <t>General Method</t>
  </si>
  <si>
    <t xml:space="preserve">       Perimeter along CL of torsion reo                        uh=</t>
  </si>
  <si>
    <t>- When designing for shear check if additional reo required at ends of beam refer Cl 8.2.8.2 of AS 3600-2018</t>
  </si>
  <si>
    <t>Bottom Reinforcement Steel (M*+)</t>
  </si>
  <si>
    <t>Top Reinforcement Steel (M*-)</t>
  </si>
  <si>
    <t>Rectangular Reinforced Concrete Beam Design (AS3600-2018)</t>
  </si>
  <si>
    <t>Myu Kat</t>
  </si>
  <si>
    <t>spacing</t>
  </si>
  <si>
    <t># of bars</t>
  </si>
  <si>
    <t>End Stage</t>
  </si>
  <si>
    <t>Construction Stage</t>
  </si>
  <si>
    <r>
      <t xml:space="preserve">Max fs </t>
    </r>
    <r>
      <rPr>
        <i/>
        <sz val="10"/>
        <rFont val="Arial"/>
        <family val="2"/>
      </rPr>
      <t>[T6.6 AS4997 &amp; T8.6.2.2 (A)&amp;(B) AS3600]</t>
    </r>
  </si>
  <si>
    <t>Top Layer</t>
  </si>
  <si>
    <t>Bottom Layer</t>
  </si>
  <si>
    <t>Crack Control</t>
  </si>
  <si>
    <t>8.1.6.2?</t>
  </si>
  <si>
    <t>Axial Force N*_Service</t>
  </si>
  <si>
    <t>_ve m* with +ve N* so can go with one layer of top reo</t>
  </si>
  <si>
    <t>A.Do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</si>
</sst>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_)"/>
    <numFmt numFmtId="165" formatCode="0.0000"/>
    <numFmt numFmtId="166" formatCode="0.000"/>
    <numFmt numFmtId="167" formatCode="0.0"/>
    <numFmt numFmtId="168" formatCode="0.00000"/>
  </numFmts>
  <fonts count="43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4"/>
      <name val="Rockwell"/>
      <family val="1"/>
    </font>
    <font>
      <b/>
      <u/>
      <sz val="12"/>
      <name val="Arial"/>
      <family val="2"/>
    </font>
    <font>
      <sz val="8"/>
      <name val="Arial MT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17"/>
      <name val="Arial"/>
      <family val="2"/>
    </font>
    <font>
      <sz val="12"/>
      <color indexed="18"/>
      <name val="Arial"/>
      <family val="2"/>
    </font>
    <font>
      <i/>
      <sz val="10"/>
      <name val="Arial"/>
      <family val="2"/>
    </font>
    <font>
      <vertAlign val="superscript"/>
      <sz val="12"/>
      <name val="Arial"/>
      <family val="2"/>
    </font>
    <font>
      <sz val="12"/>
      <name val="Math A"/>
      <family val="1"/>
      <charset val="2"/>
    </font>
    <font>
      <sz val="12"/>
      <name val="Symbol"/>
      <family val="1"/>
      <charset val="2"/>
    </font>
    <font>
      <i/>
      <sz val="8"/>
      <name val="Arial"/>
      <family val="2"/>
    </font>
    <font>
      <b/>
      <u/>
      <sz val="12"/>
      <color indexed="17"/>
      <name val="Arial"/>
      <family val="2"/>
    </font>
    <font>
      <b/>
      <sz val="12"/>
      <color indexed="10"/>
      <name val="Arial"/>
      <family val="2"/>
    </font>
    <font>
      <sz val="12"/>
      <name val="Calibri"/>
      <family val="2"/>
    </font>
    <font>
      <sz val="12"/>
      <color indexed="8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4"/>
      <name val="Calibri"/>
      <family val="2"/>
    </font>
    <font>
      <i/>
      <sz val="10"/>
      <color theme="1"/>
      <name val="Arial"/>
      <family val="2"/>
    </font>
    <font>
      <i/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2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indexed="12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sz val="12"/>
      <color theme="1"/>
      <name val="Calibri"/>
      <family val="2"/>
      <scheme val="minor"/>
    </font>
    <font>
      <vertAlign val="subscript"/>
      <sz val="12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2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Arial"/>
      <family val="2"/>
    </font>
    <font>
      <sz val="11"/>
      <color theme="4" tint="-0.249977111117893"/>
      <name val="Calibri"/>
      <family val="2"/>
      <scheme val="minor"/>
    </font>
    <font>
      <b/>
      <sz val="12"/>
      <color theme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8"/>
      </top>
      <bottom/>
      <diagonal/>
    </border>
    <border>
      <left style="medium">
        <color indexed="64"/>
      </left>
      <right/>
      <top style="thick">
        <color indexed="8"/>
      </top>
      <bottom/>
      <diagonal/>
    </border>
    <border>
      <left style="thin">
        <color indexed="8"/>
      </left>
      <right style="medium">
        <color indexed="64"/>
      </right>
      <top style="thick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/>
      <bottom/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182">
    <xf numFmtId="0" fontId="0" fillId="0" borderId="0" xfId="0"/>
    <xf numFmtId="0" fontId="2" fillId="2" borderId="2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164" fontId="4" fillId="0" borderId="0" xfId="0" applyNumberFormat="1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0" fillId="0" borderId="4" xfId="0" applyBorder="1"/>
    <xf numFmtId="0" fontId="0" fillId="0" borderId="5" xfId="0" applyBorder="1"/>
    <xf numFmtId="0" fontId="6" fillId="0" borderId="6" xfId="0" applyFont="1" applyBorder="1" applyAlignment="1">
      <alignment horizontal="right"/>
    </xf>
    <xf numFmtId="0" fontId="8" fillId="3" borderId="0" xfId="0" applyFont="1" applyFill="1" applyProtection="1">
      <protection locked="0"/>
    </xf>
    <xf numFmtId="0" fontId="6" fillId="0" borderId="0" xfId="0" applyFont="1"/>
    <xf numFmtId="0" fontId="9" fillId="0" borderId="7" xfId="0" applyFont="1" applyBorder="1"/>
    <xf numFmtId="0" fontId="8" fillId="0" borderId="0" xfId="0" applyFont="1"/>
    <xf numFmtId="0" fontId="0" fillId="0" borderId="7" xfId="0" applyBorder="1"/>
    <xf numFmtId="0" fontId="6" fillId="0" borderId="7" xfId="0" applyFont="1" applyBorder="1"/>
    <xf numFmtId="0" fontId="11" fillId="0" borderId="0" xfId="0" applyFont="1" applyAlignment="1">
      <alignment horizontal="right"/>
    </xf>
    <xf numFmtId="0" fontId="8" fillId="4" borderId="0" xfId="0" applyFont="1" applyFill="1"/>
    <xf numFmtId="11" fontId="8" fillId="3" borderId="0" xfId="0" applyNumberFormat="1" applyFont="1" applyFill="1" applyProtection="1">
      <protection locked="0"/>
    </xf>
    <xf numFmtId="0" fontId="12" fillId="0" borderId="0" xfId="0" applyFont="1" applyAlignment="1">
      <alignment horizontal="right"/>
    </xf>
    <xf numFmtId="0" fontId="13" fillId="0" borderId="0" xfId="0" applyFont="1"/>
    <xf numFmtId="0" fontId="7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14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8" fillId="3" borderId="16" xfId="0" applyFont="1" applyFill="1" applyBorder="1" applyAlignment="1" applyProtection="1">
      <alignment horizontal="center"/>
      <protection locked="0"/>
    </xf>
    <xf numFmtId="0" fontId="8" fillId="3" borderId="17" xfId="0" applyFont="1" applyFill="1" applyBorder="1" applyAlignment="1" applyProtection="1">
      <alignment horizontal="center"/>
      <protection locked="0"/>
    </xf>
    <xf numFmtId="0" fontId="6" fillId="4" borderId="18" xfId="0" applyFont="1" applyFill="1" applyBorder="1" applyAlignment="1">
      <alignment horizontal="center"/>
    </xf>
    <xf numFmtId="0" fontId="8" fillId="3" borderId="6" xfId="0" applyFont="1" applyFill="1" applyBorder="1" applyAlignment="1" applyProtection="1">
      <alignment horizontal="center"/>
      <protection locked="0"/>
    </xf>
    <xf numFmtId="0" fontId="8" fillId="3" borderId="0" xfId="0" applyFont="1" applyFill="1" applyAlignment="1" applyProtection="1">
      <alignment horizontal="center"/>
      <protection locked="0"/>
    </xf>
    <xf numFmtId="0" fontId="6" fillId="4" borderId="19" xfId="0" applyFont="1" applyFill="1" applyBorder="1" applyAlignment="1">
      <alignment horizontal="center"/>
    </xf>
    <xf numFmtId="0" fontId="6" fillId="4" borderId="5" xfId="0" applyFont="1" applyFill="1" applyBorder="1"/>
    <xf numFmtId="0" fontId="6" fillId="0" borderId="0" xfId="0" applyFont="1" applyAlignment="1">
      <alignment horizontal="left"/>
    </xf>
    <xf numFmtId="0" fontId="13" fillId="3" borderId="8" xfId="0" applyFont="1" applyFill="1" applyBorder="1" applyAlignment="1">
      <alignment horizontal="left"/>
    </xf>
    <xf numFmtId="0" fontId="6" fillId="3" borderId="9" xfId="0" applyFont="1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0" fontId="14" fillId="0" borderId="3" xfId="0" applyFont="1" applyBorder="1"/>
    <xf numFmtId="0" fontId="6" fillId="0" borderId="8" xfId="0" applyFont="1" applyBorder="1" applyAlignment="1">
      <alignment horizontal="right"/>
    </xf>
    <xf numFmtId="0" fontId="6" fillId="0" borderId="9" xfId="0" applyFont="1" applyBorder="1" applyAlignment="1">
      <alignment horizontal="right"/>
    </xf>
    <xf numFmtId="0" fontId="6" fillId="0" borderId="9" xfId="0" applyFont="1" applyBorder="1"/>
    <xf numFmtId="0" fontId="6" fillId="0" borderId="10" xfId="0" applyFont="1" applyBorder="1"/>
    <xf numFmtId="0" fontId="18" fillId="0" borderId="0" xfId="0" applyFont="1"/>
    <xf numFmtId="0" fontId="9" fillId="0" borderId="10" xfId="0" applyFont="1" applyBorder="1"/>
    <xf numFmtId="0" fontId="18" fillId="0" borderId="6" xfId="0" quotePrefix="1" applyFont="1" applyBorder="1"/>
    <xf numFmtId="0" fontId="0" fillId="0" borderId="8" xfId="0" quotePrefix="1" applyBorder="1"/>
    <xf numFmtId="0" fontId="0" fillId="0" borderId="9" xfId="0" applyBorder="1"/>
    <xf numFmtId="0" fontId="0" fillId="0" borderId="10" xfId="0" applyBorder="1"/>
    <xf numFmtId="0" fontId="6" fillId="0" borderId="0" xfId="0" applyFont="1" applyAlignment="1">
      <alignment horizontal="center"/>
    </xf>
    <xf numFmtId="1" fontId="6" fillId="0" borderId="0" xfId="0" applyNumberFormat="1" applyFont="1"/>
    <xf numFmtId="2" fontId="6" fillId="0" borderId="0" xfId="0" applyNumberFormat="1" applyFont="1"/>
    <xf numFmtId="2" fontId="0" fillId="0" borderId="0" xfId="0" applyNumberFormat="1"/>
    <xf numFmtId="0" fontId="6" fillId="0" borderId="6" xfId="0" applyFont="1" applyBorder="1" applyAlignment="1">
      <alignment horizontal="left"/>
    </xf>
    <xf numFmtId="0" fontId="6" fillId="0" borderId="6" xfId="0" applyFont="1" applyBorder="1" applyAlignment="1">
      <alignment vertical="center" wrapText="1"/>
    </xf>
    <xf numFmtId="0" fontId="6" fillId="0" borderId="0" xfId="0" applyFont="1" applyAlignment="1">
      <alignment horizontal="right" vertical="center"/>
    </xf>
    <xf numFmtId="0" fontId="9" fillId="0" borderId="7" xfId="0" applyFont="1" applyBorder="1" applyAlignment="1">
      <alignment vertical="center"/>
    </xf>
    <xf numFmtId="2" fontId="17" fillId="0" borderId="0" xfId="0" applyNumberFormat="1" applyFont="1"/>
    <xf numFmtId="0" fontId="15" fillId="6" borderId="0" xfId="0" applyFont="1" applyFill="1" applyAlignment="1">
      <alignment horizontal="right"/>
    </xf>
    <xf numFmtId="0" fontId="15" fillId="6" borderId="0" xfId="0" applyFont="1" applyFill="1" applyAlignment="1">
      <alignment horizontal="right" vertical="center"/>
    </xf>
    <xf numFmtId="0" fontId="15" fillId="6" borderId="9" xfId="0" applyFont="1" applyFill="1" applyBorder="1" applyAlignment="1">
      <alignment horizontal="right"/>
    </xf>
    <xf numFmtId="167" fontId="6" fillId="0" borderId="0" xfId="0" applyNumberFormat="1" applyFont="1"/>
    <xf numFmtId="167" fontId="17" fillId="0" borderId="0" xfId="0" applyNumberFormat="1" applyFont="1"/>
    <xf numFmtId="1" fontId="17" fillId="0" borderId="0" xfId="0" applyNumberFormat="1" applyFont="1"/>
    <xf numFmtId="0" fontId="6" fillId="0" borderId="6" xfId="0" applyFont="1" applyBorder="1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6" fillId="0" borderId="0" xfId="0" applyFont="1" applyAlignment="1">
      <alignment horizontal="left" vertical="center" wrapText="1"/>
    </xf>
    <xf numFmtId="0" fontId="19" fillId="0" borderId="7" xfId="0" applyFont="1" applyBorder="1" applyAlignment="1">
      <alignment horizontal="left" vertical="center" wrapText="1"/>
    </xf>
    <xf numFmtId="0" fontId="14" fillId="0" borderId="3" xfId="0" applyFont="1" applyBorder="1" applyAlignment="1">
      <alignment horizontal="left"/>
    </xf>
    <xf numFmtId="0" fontId="6" fillId="0" borderId="4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20" fillId="0" borderId="0" xfId="0" applyFont="1"/>
    <xf numFmtId="1" fontId="20" fillId="0" borderId="0" xfId="0" applyNumberFormat="1" applyFont="1"/>
    <xf numFmtId="1" fontId="5" fillId="0" borderId="0" xfId="0" applyNumberFormat="1" applyFont="1"/>
    <xf numFmtId="11" fontId="6" fillId="2" borderId="0" xfId="0" applyNumberFormat="1" applyFont="1" applyFill="1"/>
    <xf numFmtId="1" fontId="5" fillId="5" borderId="0" xfId="0" applyNumberFormat="1" applyFont="1" applyFill="1" applyAlignment="1">
      <alignment horizontal="right"/>
    </xf>
    <xf numFmtId="166" fontId="0" fillId="0" borderId="0" xfId="0" applyNumberFormat="1"/>
    <xf numFmtId="165" fontId="0" fillId="0" borderId="0" xfId="0" applyNumberFormat="1"/>
    <xf numFmtId="166" fontId="5" fillId="0" borderId="0" xfId="0" applyNumberFormat="1" applyFont="1"/>
    <xf numFmtId="166" fontId="15" fillId="5" borderId="0" xfId="0" applyNumberFormat="1" applyFont="1" applyFill="1" applyAlignment="1">
      <alignment horizontal="right"/>
    </xf>
    <xf numFmtId="166" fontId="15" fillId="5" borderId="9" xfId="0" applyNumberFormat="1" applyFont="1" applyFill="1" applyBorder="1" applyAlignment="1">
      <alignment horizontal="right"/>
    </xf>
    <xf numFmtId="0" fontId="17" fillId="0" borderId="6" xfId="0" applyFont="1" applyBorder="1" applyAlignment="1">
      <alignment horizontal="right"/>
    </xf>
    <xf numFmtId="0" fontId="21" fillId="0" borderId="0" xfId="0" applyFont="1" applyAlignment="1">
      <alignment horizontal="right"/>
    </xf>
    <xf numFmtId="15" fontId="5" fillId="0" borderId="0" xfId="0" applyNumberFormat="1" applyFont="1"/>
    <xf numFmtId="0" fontId="8" fillId="3" borderId="9" xfId="0" applyFont="1" applyFill="1" applyBorder="1" applyProtection="1">
      <protection locked="0"/>
    </xf>
    <xf numFmtId="0" fontId="7" fillId="0" borderId="6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7" fillId="0" borderId="3" xfId="0" applyFont="1" applyBorder="1" applyAlignment="1">
      <alignment horizontal="right"/>
    </xf>
    <xf numFmtId="0" fontId="2" fillId="2" borderId="2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right"/>
    </xf>
    <xf numFmtId="1" fontId="6" fillId="7" borderId="4" xfId="0" applyNumberFormat="1" applyFont="1" applyFill="1" applyBorder="1"/>
    <xf numFmtId="0" fontId="6" fillId="7" borderId="4" xfId="0" applyFont="1" applyFill="1" applyBorder="1"/>
    <xf numFmtId="0" fontId="6" fillId="7" borderId="6" xfId="0" applyFont="1" applyFill="1" applyBorder="1"/>
    <xf numFmtId="0" fontId="11" fillId="7" borderId="0" xfId="0" applyFont="1" applyFill="1" applyAlignment="1">
      <alignment horizontal="right"/>
    </xf>
    <xf numFmtId="1" fontId="6" fillId="7" borderId="0" xfId="0" applyNumberFormat="1" applyFont="1" applyFill="1"/>
    <xf numFmtId="0" fontId="6" fillId="7" borderId="0" xfId="0" applyFont="1" applyFill="1"/>
    <xf numFmtId="0" fontId="15" fillId="7" borderId="7" xfId="0" applyFont="1" applyFill="1" applyBorder="1" applyAlignment="1">
      <alignment horizontal="left"/>
    </xf>
    <xf numFmtId="0" fontId="6" fillId="7" borderId="0" xfId="0" applyFont="1" applyFill="1" applyAlignment="1">
      <alignment horizontal="right"/>
    </xf>
    <xf numFmtId="0" fontId="0" fillId="7" borderId="0" xfId="0" applyFill="1"/>
    <xf numFmtId="1" fontId="18" fillId="7" borderId="0" xfId="0" applyNumberFormat="1" applyFont="1" applyFill="1"/>
    <xf numFmtId="167" fontId="18" fillId="7" borderId="0" xfId="0" applyNumberFormat="1" applyFont="1" applyFill="1"/>
    <xf numFmtId="166" fontId="15" fillId="7" borderId="7" xfId="0" applyNumberFormat="1" applyFont="1" applyFill="1" applyBorder="1" applyAlignment="1">
      <alignment horizontal="left"/>
    </xf>
    <xf numFmtId="0" fontId="6" fillId="7" borderId="8" xfId="0" applyFont="1" applyFill="1" applyBorder="1"/>
    <xf numFmtId="0" fontId="6" fillId="7" borderId="9" xfId="0" applyFont="1" applyFill="1" applyBorder="1" applyAlignment="1">
      <alignment horizontal="right"/>
    </xf>
    <xf numFmtId="167" fontId="18" fillId="7" borderId="9" xfId="0" applyNumberFormat="1" applyFont="1" applyFill="1" applyBorder="1"/>
    <xf numFmtId="0" fontId="6" fillId="7" borderId="9" xfId="0" applyFont="1" applyFill="1" applyBorder="1"/>
    <xf numFmtId="166" fontId="15" fillId="7" borderId="10" xfId="0" applyNumberFormat="1" applyFont="1" applyFill="1" applyBorder="1" applyAlignment="1">
      <alignment horizontal="left"/>
    </xf>
    <xf numFmtId="0" fontId="0" fillId="0" borderId="3" xfId="0" applyBorder="1"/>
    <xf numFmtId="0" fontId="24" fillId="0" borderId="7" xfId="0" applyFont="1" applyBorder="1"/>
    <xf numFmtId="0" fontId="20" fillId="0" borderId="0" xfId="0" applyFont="1" applyAlignment="1">
      <alignment horizontal="right"/>
    </xf>
    <xf numFmtId="11" fontId="20" fillId="0" borderId="0" xfId="0" applyNumberFormat="1" applyFont="1"/>
    <xf numFmtId="166" fontId="20" fillId="0" borderId="0" xfId="0" applyNumberFormat="1" applyFont="1"/>
    <xf numFmtId="0" fontId="20" fillId="0" borderId="9" xfId="0" applyFont="1" applyBorder="1" applyAlignment="1">
      <alignment horizontal="right"/>
    </xf>
    <xf numFmtId="167" fontId="20" fillId="0" borderId="9" xfId="0" applyNumberFormat="1" applyFont="1" applyBorder="1"/>
    <xf numFmtId="0" fontId="20" fillId="0" borderId="9" xfId="0" applyFont="1" applyBorder="1"/>
    <xf numFmtId="0" fontId="6" fillId="0" borderId="0" xfId="0" quotePrefix="1" applyFont="1"/>
    <xf numFmtId="0" fontId="15" fillId="6" borderId="9" xfId="0" applyFont="1" applyFill="1" applyBorder="1" applyAlignment="1">
      <alignment horizontal="right" vertical="center"/>
    </xf>
    <xf numFmtId="0" fontId="6" fillId="0" borderId="9" xfId="0" quotePrefix="1" applyFont="1" applyBorder="1"/>
    <xf numFmtId="2" fontId="20" fillId="0" borderId="0" xfId="0" applyNumberFormat="1" applyFont="1"/>
    <xf numFmtId="167" fontId="20" fillId="0" borderId="0" xfId="0" applyNumberFormat="1" applyFont="1"/>
    <xf numFmtId="14" fontId="0" fillId="0" borderId="0" xfId="0" applyNumberFormat="1"/>
    <xf numFmtId="0" fontId="22" fillId="0" borderId="0" xfId="0" applyFont="1"/>
    <xf numFmtId="0" fontId="29" fillId="0" borderId="7" xfId="0" applyFont="1" applyBorder="1"/>
    <xf numFmtId="0" fontId="18" fillId="0" borderId="8" xfId="0" quotePrefix="1" applyFont="1" applyBorder="1"/>
    <xf numFmtId="165" fontId="18" fillId="0" borderId="0" xfId="0" applyNumberFormat="1" applyFont="1"/>
    <xf numFmtId="166" fontId="18" fillId="0" borderId="0" xfId="0" applyNumberFormat="1" applyFont="1"/>
    <xf numFmtId="0" fontId="25" fillId="0" borderId="3" xfId="0" quotePrefix="1" applyFont="1" applyBorder="1"/>
    <xf numFmtId="0" fontId="25" fillId="0" borderId="6" xfId="0" quotePrefix="1" applyFont="1" applyBorder="1"/>
    <xf numFmtId="0" fontId="0" fillId="0" borderId="6" xfId="0" applyBorder="1"/>
    <xf numFmtId="0" fontId="0" fillId="0" borderId="8" xfId="0" applyBorder="1"/>
    <xf numFmtId="0" fontId="31" fillId="0" borderId="0" xfId="0" applyFont="1"/>
    <xf numFmtId="0" fontId="19" fillId="0" borderId="0" xfId="0" applyFont="1"/>
    <xf numFmtId="1" fontId="19" fillId="0" borderId="0" xfId="0" applyNumberFormat="1" applyFont="1"/>
    <xf numFmtId="2" fontId="30" fillId="0" borderId="0" xfId="0" applyNumberFormat="1" applyFont="1"/>
    <xf numFmtId="0" fontId="6" fillId="0" borderId="3" xfId="0" applyFont="1" applyBorder="1" applyAlignment="1">
      <alignment horizontal="right"/>
    </xf>
    <xf numFmtId="0" fontId="20" fillId="0" borderId="4" xfId="0" applyFont="1" applyBorder="1" applyAlignment="1">
      <alignment horizontal="right"/>
    </xf>
    <xf numFmtId="0" fontId="20" fillId="0" borderId="4" xfId="0" applyFont="1" applyBorder="1"/>
    <xf numFmtId="0" fontId="34" fillId="0" borderId="0" xfId="0" applyFont="1"/>
    <xf numFmtId="0" fontId="31" fillId="0" borderId="6" xfId="0" applyFont="1" applyBorder="1"/>
    <xf numFmtId="0" fontId="33" fillId="0" borderId="0" xfId="0" applyFont="1"/>
    <xf numFmtId="0" fontId="19" fillId="0" borderId="0" xfId="0" applyFont="1" applyProtection="1">
      <protection locked="0"/>
    </xf>
    <xf numFmtId="0" fontId="19" fillId="0" borderId="6" xfId="0" applyFont="1" applyBorder="1"/>
    <xf numFmtId="0" fontId="32" fillId="0" borderId="0" xfId="0" applyFont="1"/>
    <xf numFmtId="168" fontId="6" fillId="0" borderId="0" xfId="0" applyNumberFormat="1" applyFont="1"/>
    <xf numFmtId="0" fontId="34" fillId="0" borderId="6" xfId="0" applyFont="1" applyBorder="1"/>
    <xf numFmtId="0" fontId="20" fillId="0" borderId="6" xfId="0" applyFont="1" applyBorder="1" applyAlignment="1">
      <alignment horizontal="right"/>
    </xf>
    <xf numFmtId="0" fontId="20" fillId="0" borderId="6" xfId="0" applyFont="1" applyBorder="1"/>
    <xf numFmtId="0" fontId="19" fillId="0" borderId="7" xfId="0" applyFont="1" applyBorder="1"/>
    <xf numFmtId="0" fontId="6" fillId="7" borderId="3" xfId="0" applyFont="1" applyFill="1" applyBorder="1" applyAlignment="1">
      <alignment horizontal="left"/>
    </xf>
    <xf numFmtId="0" fontId="15" fillId="7" borderId="5" xfId="0" applyFont="1" applyFill="1" applyBorder="1" applyAlignment="1">
      <alignment horizontal="left"/>
    </xf>
    <xf numFmtId="1" fontId="34" fillId="0" borderId="0" xfId="0" applyNumberFormat="1" applyFont="1"/>
    <xf numFmtId="0" fontId="15" fillId="6" borderId="0" xfId="0" applyFont="1" applyFill="1" applyAlignment="1">
      <alignment horizontal="center"/>
    </xf>
    <xf numFmtId="0" fontId="0" fillId="0" borderId="0" xfId="0" quotePrefix="1"/>
    <xf numFmtId="167" fontId="8" fillId="3" borderId="0" xfId="0" applyNumberFormat="1" applyFont="1" applyFill="1" applyProtection="1">
      <protection locked="0"/>
    </xf>
    <xf numFmtId="1" fontId="8" fillId="3" borderId="0" xfId="0" applyNumberFormat="1" applyFont="1" applyFill="1" applyProtection="1">
      <protection locked="0"/>
    </xf>
    <xf numFmtId="0" fontId="36" fillId="0" borderId="8" xfId="0" quotePrefix="1" applyFont="1" applyBorder="1"/>
    <xf numFmtId="0" fontId="36" fillId="0" borderId="6" xfId="0" quotePrefix="1" applyFont="1" applyBorder="1"/>
    <xf numFmtId="167" fontId="34" fillId="0" borderId="0" xfId="0" applyNumberFormat="1" applyFont="1"/>
    <xf numFmtId="0" fontId="34" fillId="0" borderId="9" xfId="0" applyFont="1" applyBorder="1"/>
    <xf numFmtId="0" fontId="38" fillId="3" borderId="0" xfId="0" applyFont="1" applyFill="1" applyProtection="1">
      <protection locked="0"/>
    </xf>
    <xf numFmtId="1" fontId="38" fillId="3" borderId="0" xfId="0" applyNumberFormat="1" applyFont="1" applyFill="1" applyProtection="1">
      <protection locked="0"/>
    </xf>
    <xf numFmtId="1" fontId="38" fillId="3" borderId="9" xfId="0" applyNumberFormat="1" applyFont="1" applyFill="1" applyBorder="1" applyProtection="1">
      <protection locked="0"/>
    </xf>
    <xf numFmtId="0" fontId="37" fillId="0" borderId="0" xfId="0" applyFont="1"/>
    <xf numFmtId="0" fontId="6" fillId="0" borderId="8" xfId="0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39" fillId="0" borderId="0" xfId="0" applyFont="1"/>
    <xf numFmtId="0" fontId="38" fillId="3" borderId="16" xfId="0" applyFont="1" applyFill="1" applyBorder="1" applyAlignment="1" applyProtection="1">
      <alignment horizontal="center"/>
      <protection locked="0"/>
    </xf>
    <xf numFmtId="0" fontId="40" fillId="3" borderId="0" xfId="0" applyFont="1" applyFill="1" applyProtection="1">
      <protection locked="0"/>
    </xf>
    <xf numFmtId="0" fontId="38" fillId="3" borderId="6" xfId="0" applyFont="1" applyFill="1" applyBorder="1" applyAlignment="1" applyProtection="1">
      <alignment horizontal="center"/>
      <protection locked="0"/>
    </xf>
    <xf numFmtId="0" fontId="41" fillId="0" borderId="0" xfId="0" applyFont="1"/>
    <xf numFmtId="0" fontId="37" fillId="6" borderId="0" xfId="0" applyFont="1" applyFill="1"/>
    <xf numFmtId="0" fontId="42" fillId="7" borderId="7" xfId="0" applyFont="1" applyFill="1" applyBorder="1" applyAlignment="1">
      <alignment horizontal="left"/>
    </xf>
    <xf numFmtId="166" fontId="42" fillId="7" borderId="7" xfId="0" applyNumberFormat="1" applyFont="1" applyFill="1" applyBorder="1" applyAlignment="1">
      <alignment horizontal="left"/>
    </xf>
    <xf numFmtId="166" fontId="42" fillId="7" borderId="10" xfId="0" applyNumberFormat="1" applyFont="1" applyFill="1" applyBorder="1" applyAlignment="1">
      <alignment horizontal="left"/>
    </xf>
    <xf numFmtId="0" fontId="38" fillId="0" borderId="6" xfId="0" applyFont="1" applyBorder="1" applyAlignment="1">
      <alignment horizontal="right"/>
    </xf>
    <xf numFmtId="9" fontId="0" fillId="0" borderId="0" xfId="0" applyNumberFormat="1"/>
    <xf numFmtId="0" fontId="1" fillId="0" borderId="1" xfId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8" fillId="0" borderId="6" xfId="0" quotePrefix="1" applyFont="1" applyBorder="1" applyAlignment="1">
      <alignment horizontal="center"/>
    </xf>
    <xf numFmtId="0" fontId="28" fillId="0" borderId="0" xfId="0" quotePrefix="1" applyFont="1" applyAlignment="1">
      <alignment horizontal="center"/>
    </xf>
    <xf numFmtId="0" fontId="28" fillId="0" borderId="7" xfId="0" quotePrefix="1" applyFont="1" applyBorder="1" applyAlignment="1">
      <alignment horizontal="center"/>
    </xf>
    <xf numFmtId="0" fontId="15" fillId="6" borderId="0" xfId="0" applyFont="1" applyFill="1" applyAlignment="1">
      <alignment horizontal="center"/>
    </xf>
  </cellXfs>
  <cellStyles count="2">
    <cellStyle name="Heading 1" xfId="1" builtinId="16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</xdr:colOff>
      <xdr:row>56</xdr:row>
      <xdr:rowOff>190500</xdr:rowOff>
    </xdr:from>
    <xdr:to>
      <xdr:col>11</xdr:col>
      <xdr:colOff>1657350</xdr:colOff>
      <xdr:row>58</xdr:row>
      <xdr:rowOff>171450</xdr:rowOff>
    </xdr:to>
    <xdr:sp macro="" textlink="">
      <xdr:nvSpPr>
        <xdr:cNvPr id="1034" name="CommandButton1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76200</xdr:colOff>
      <xdr:row>56</xdr:row>
      <xdr:rowOff>152400</xdr:rowOff>
    </xdr:from>
    <xdr:to>
      <xdr:col>11</xdr:col>
      <xdr:colOff>1314450</xdr:colOff>
      <xdr:row>58</xdr:row>
      <xdr:rowOff>133350</xdr:rowOff>
    </xdr:to>
    <xdr:pic macro="[0]!Solvefordn">
      <xdr:nvPicPr>
        <xdr:cNvPr id="2" name="CommandButton1">
          <a:extLst>
            <a:ext uri="{FF2B5EF4-FFF2-40B4-BE49-F238E27FC236}">
              <a16:creationId xmlns:a16="http://schemas.microsoft.com/office/drawing/2014/main" id="{810D3FC1-FBBF-4B1A-BE42-2E49D782D87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0" y="11399520"/>
          <a:ext cx="1242060" cy="3733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21772</xdr:colOff>
      <xdr:row>182</xdr:row>
      <xdr:rowOff>10886</xdr:rowOff>
    </xdr:from>
    <xdr:to>
      <xdr:col>4</xdr:col>
      <xdr:colOff>103415</xdr:colOff>
      <xdr:row>189</xdr:row>
      <xdr:rowOff>36468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80177D6-824F-42E0-AD22-0BA7F7FCF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1372" y="36695743"/>
          <a:ext cx="4708072" cy="139718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182</xdr:row>
      <xdr:rowOff>0</xdr:rowOff>
    </xdr:from>
    <xdr:to>
      <xdr:col>7</xdr:col>
      <xdr:colOff>1720235</xdr:colOff>
      <xdr:row>189</xdr:row>
      <xdr:rowOff>176893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59BB90D-8B58-052F-9CF2-C9BDD682B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14357" y="37406036"/>
          <a:ext cx="4618557" cy="1510393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182</xdr:row>
      <xdr:rowOff>0</xdr:rowOff>
    </xdr:from>
    <xdr:to>
      <xdr:col>11</xdr:col>
      <xdr:colOff>363039</xdr:colOff>
      <xdr:row>190</xdr:row>
      <xdr:rowOff>21085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95C5E0-E9FC-EA9E-0091-07EC678F7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37571" y="36848143"/>
          <a:ext cx="3002825" cy="1436228"/>
        </a:xfrm>
        <a:prstGeom prst="rect">
          <a:avLst/>
        </a:prstGeom>
      </xdr:spPr>
    </xdr:pic>
    <xdr:clientData/>
  </xdr:twoCellAnchor>
  <xdr:twoCellAnchor editAs="oneCell">
    <xdr:from>
      <xdr:col>1</xdr:col>
      <xdr:colOff>87086</xdr:colOff>
      <xdr:row>191</xdr:row>
      <xdr:rowOff>21771</xdr:rowOff>
    </xdr:from>
    <xdr:to>
      <xdr:col>3</xdr:col>
      <xdr:colOff>785215</xdr:colOff>
      <xdr:row>220</xdr:row>
      <xdr:rowOff>30163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DE6DCC1-0AF5-1DE4-6145-84AF89477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6686" y="38470114"/>
          <a:ext cx="4497243" cy="56907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</xdr:colOff>
      <xdr:row>56</xdr:row>
      <xdr:rowOff>190500</xdr:rowOff>
    </xdr:from>
    <xdr:to>
      <xdr:col>11</xdr:col>
      <xdr:colOff>1672590</xdr:colOff>
      <xdr:row>58</xdr:row>
      <xdr:rowOff>186690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AD1E4161-3A9F-4DD3-9AFA-02799AEEA82B}"/>
            </a:ext>
          </a:extLst>
        </xdr:cNvPr>
        <xdr:cNvSpPr/>
      </xdr:nvSpPr>
      <xdr:spPr bwMode="auto">
        <a:xfrm>
          <a:off x="14485620" y="11628120"/>
          <a:ext cx="15621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31</xdr:col>
      <xdr:colOff>0</xdr:colOff>
      <xdr:row>37</xdr:row>
      <xdr:rowOff>0</xdr:rowOff>
    </xdr:from>
    <xdr:to>
      <xdr:col>44</xdr:col>
      <xdr:colOff>377190</xdr:colOff>
      <xdr:row>77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5295399-C1AB-4398-B49A-1F549FCB6D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35860" y="7597140"/>
          <a:ext cx="8288655" cy="803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</xdr:row>
      <xdr:rowOff>0</xdr:rowOff>
    </xdr:from>
    <xdr:to>
      <xdr:col>10</xdr:col>
      <xdr:colOff>339090</xdr:colOff>
      <xdr:row>5</xdr:row>
      <xdr:rowOff>144779</xdr:rowOff>
    </xdr:to>
    <xdr:pic macro="[0]!Solvefordn">
      <xdr:nvPicPr>
        <xdr:cNvPr id="5" name="CommandButton1">
          <a:extLst>
            <a:ext uri="{FF2B5EF4-FFF2-40B4-BE49-F238E27FC236}">
              <a16:creationId xmlns:a16="http://schemas.microsoft.com/office/drawing/2014/main" id="{FCA89CA0-2168-4CB3-83F9-D8A35A5165A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93486" y="838200"/>
          <a:ext cx="1253490" cy="3880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</xdr:colOff>
      <xdr:row>56</xdr:row>
      <xdr:rowOff>190500</xdr:rowOff>
    </xdr:from>
    <xdr:to>
      <xdr:col>11</xdr:col>
      <xdr:colOff>1672590</xdr:colOff>
      <xdr:row>58</xdr:row>
      <xdr:rowOff>186690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604FA410-FF11-4FF7-83F7-96980396B80F}"/>
            </a:ext>
          </a:extLst>
        </xdr:cNvPr>
        <xdr:cNvSpPr/>
      </xdr:nvSpPr>
      <xdr:spPr bwMode="auto">
        <a:xfrm>
          <a:off x="14468475" y="11668125"/>
          <a:ext cx="1577340" cy="3962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31</xdr:col>
      <xdr:colOff>0</xdr:colOff>
      <xdr:row>37</xdr:row>
      <xdr:rowOff>0</xdr:rowOff>
    </xdr:from>
    <xdr:to>
      <xdr:col>44</xdr:col>
      <xdr:colOff>377190</xdr:colOff>
      <xdr:row>77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586F8E2-FD62-4591-A106-4DFD14ED0C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22525" y="7629525"/>
          <a:ext cx="8301990" cy="805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</xdr:row>
      <xdr:rowOff>0</xdr:rowOff>
    </xdr:from>
    <xdr:to>
      <xdr:col>10</xdr:col>
      <xdr:colOff>339090</xdr:colOff>
      <xdr:row>5</xdr:row>
      <xdr:rowOff>146684</xdr:rowOff>
    </xdr:to>
    <xdr:pic macro="[0]!Solvefordn">
      <xdr:nvPicPr>
        <xdr:cNvPr id="5" name="CommandButton1">
          <a:extLst>
            <a:ext uri="{FF2B5EF4-FFF2-40B4-BE49-F238E27FC236}">
              <a16:creationId xmlns:a16="http://schemas.microsoft.com/office/drawing/2014/main" id="{DCD35EC3-086C-4BF2-8EFE-A2FD129F198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93486" y="838200"/>
          <a:ext cx="1253490" cy="3880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</xdr:colOff>
      <xdr:row>56</xdr:row>
      <xdr:rowOff>190500</xdr:rowOff>
    </xdr:from>
    <xdr:to>
      <xdr:col>11</xdr:col>
      <xdr:colOff>1672590</xdr:colOff>
      <xdr:row>58</xdr:row>
      <xdr:rowOff>186690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090E5E5F-EF70-4F55-AF06-543EC501A007}"/>
            </a:ext>
          </a:extLst>
        </xdr:cNvPr>
        <xdr:cNvSpPr/>
      </xdr:nvSpPr>
      <xdr:spPr bwMode="auto">
        <a:xfrm>
          <a:off x="14468475" y="11668125"/>
          <a:ext cx="1577340" cy="3962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31</xdr:col>
      <xdr:colOff>0</xdr:colOff>
      <xdr:row>37</xdr:row>
      <xdr:rowOff>0</xdr:rowOff>
    </xdr:from>
    <xdr:to>
      <xdr:col>44</xdr:col>
      <xdr:colOff>377190</xdr:colOff>
      <xdr:row>77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2C2FDE-1E20-4C49-BF1A-DCAB9C9CA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22525" y="7629525"/>
          <a:ext cx="8301990" cy="805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</xdr:row>
      <xdr:rowOff>0</xdr:rowOff>
    </xdr:from>
    <xdr:to>
      <xdr:col>10</xdr:col>
      <xdr:colOff>339090</xdr:colOff>
      <xdr:row>5</xdr:row>
      <xdr:rowOff>137159</xdr:rowOff>
    </xdr:to>
    <xdr:pic macro="[0]!Solvefordn">
      <xdr:nvPicPr>
        <xdr:cNvPr id="5" name="CommandButton1">
          <a:extLst>
            <a:ext uri="{FF2B5EF4-FFF2-40B4-BE49-F238E27FC236}">
              <a16:creationId xmlns:a16="http://schemas.microsoft.com/office/drawing/2014/main" id="{2361E477-4637-44BD-B9E1-4A63071C9A6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93486" y="838200"/>
          <a:ext cx="1253490" cy="3880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</xdr:colOff>
      <xdr:row>56</xdr:row>
      <xdr:rowOff>190500</xdr:rowOff>
    </xdr:from>
    <xdr:to>
      <xdr:col>11</xdr:col>
      <xdr:colOff>1672590</xdr:colOff>
      <xdr:row>58</xdr:row>
      <xdr:rowOff>186690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ECE1102F-19C2-4596-9B8C-37AC4B73C4D6}"/>
            </a:ext>
          </a:extLst>
        </xdr:cNvPr>
        <xdr:cNvSpPr/>
      </xdr:nvSpPr>
      <xdr:spPr bwMode="auto">
        <a:xfrm>
          <a:off x="14878050" y="11452860"/>
          <a:ext cx="1577340" cy="39243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31</xdr:col>
      <xdr:colOff>0</xdr:colOff>
      <xdr:row>37</xdr:row>
      <xdr:rowOff>0</xdr:rowOff>
    </xdr:from>
    <xdr:to>
      <xdr:col>44</xdr:col>
      <xdr:colOff>377190</xdr:colOff>
      <xdr:row>77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31A466-070C-45D7-B1C8-7AD591F611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85440" y="7505700"/>
          <a:ext cx="8301990" cy="790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</xdr:row>
      <xdr:rowOff>0</xdr:rowOff>
    </xdr:from>
    <xdr:to>
      <xdr:col>10</xdr:col>
      <xdr:colOff>339090</xdr:colOff>
      <xdr:row>5</xdr:row>
      <xdr:rowOff>137159</xdr:rowOff>
    </xdr:to>
    <xdr:pic macro="[0]!Solvefordn">
      <xdr:nvPicPr>
        <xdr:cNvPr id="4" name="CommandButton1">
          <a:extLst>
            <a:ext uri="{FF2B5EF4-FFF2-40B4-BE49-F238E27FC236}">
              <a16:creationId xmlns:a16="http://schemas.microsoft.com/office/drawing/2014/main" id="{ACB95952-3D55-4644-B382-C39574DB06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82600" y="822960"/>
          <a:ext cx="1253490" cy="38290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</xdr:colOff>
      <xdr:row>56</xdr:row>
      <xdr:rowOff>190500</xdr:rowOff>
    </xdr:from>
    <xdr:to>
      <xdr:col>11</xdr:col>
      <xdr:colOff>1672590</xdr:colOff>
      <xdr:row>58</xdr:row>
      <xdr:rowOff>186690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CBA7779C-5B89-4C6F-8FD2-3EBB5D49DCE8}"/>
            </a:ext>
          </a:extLst>
        </xdr:cNvPr>
        <xdr:cNvSpPr/>
      </xdr:nvSpPr>
      <xdr:spPr bwMode="auto">
        <a:xfrm>
          <a:off x="14883765" y="11553825"/>
          <a:ext cx="1581150" cy="3962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31</xdr:col>
      <xdr:colOff>0</xdr:colOff>
      <xdr:row>37</xdr:row>
      <xdr:rowOff>0</xdr:rowOff>
    </xdr:from>
    <xdr:to>
      <xdr:col>44</xdr:col>
      <xdr:colOff>377190</xdr:colOff>
      <xdr:row>77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4B268D-E6D5-4647-AFD3-E40F7D00F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98775" y="7581900"/>
          <a:ext cx="8301990" cy="795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</xdr:row>
      <xdr:rowOff>0</xdr:rowOff>
    </xdr:from>
    <xdr:to>
      <xdr:col>10</xdr:col>
      <xdr:colOff>339090</xdr:colOff>
      <xdr:row>5</xdr:row>
      <xdr:rowOff>137159</xdr:rowOff>
    </xdr:to>
    <xdr:pic macro="[0]!Solvefordn">
      <xdr:nvPicPr>
        <xdr:cNvPr id="4" name="CommandButton1">
          <a:extLst>
            <a:ext uri="{FF2B5EF4-FFF2-40B4-BE49-F238E27FC236}">
              <a16:creationId xmlns:a16="http://schemas.microsoft.com/office/drawing/2014/main" id="{36BDC68E-9F80-4DD9-B2C1-6F5C72F3704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92125" y="819150"/>
          <a:ext cx="1253490" cy="37528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</xdr:colOff>
      <xdr:row>56</xdr:row>
      <xdr:rowOff>190500</xdr:rowOff>
    </xdr:from>
    <xdr:to>
      <xdr:col>11</xdr:col>
      <xdr:colOff>1672590</xdr:colOff>
      <xdr:row>58</xdr:row>
      <xdr:rowOff>186690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CC9C08B4-EE00-4972-8CC3-7E356B59A07F}"/>
            </a:ext>
          </a:extLst>
        </xdr:cNvPr>
        <xdr:cNvSpPr/>
      </xdr:nvSpPr>
      <xdr:spPr bwMode="auto">
        <a:xfrm>
          <a:off x="14878050" y="11452860"/>
          <a:ext cx="1577340" cy="39243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31</xdr:col>
      <xdr:colOff>0</xdr:colOff>
      <xdr:row>37</xdr:row>
      <xdr:rowOff>0</xdr:rowOff>
    </xdr:from>
    <xdr:to>
      <xdr:col>44</xdr:col>
      <xdr:colOff>377190</xdr:colOff>
      <xdr:row>77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9C835B5-A2DD-4164-9579-4E67151BF3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85440" y="7505700"/>
          <a:ext cx="8301990" cy="790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</xdr:row>
      <xdr:rowOff>0</xdr:rowOff>
    </xdr:from>
    <xdr:to>
      <xdr:col>10</xdr:col>
      <xdr:colOff>339090</xdr:colOff>
      <xdr:row>5</xdr:row>
      <xdr:rowOff>133349</xdr:rowOff>
    </xdr:to>
    <xdr:pic macro="[0]!Solvefordn">
      <xdr:nvPicPr>
        <xdr:cNvPr id="4" name="CommandButton1">
          <a:extLst>
            <a:ext uri="{FF2B5EF4-FFF2-40B4-BE49-F238E27FC236}">
              <a16:creationId xmlns:a16="http://schemas.microsoft.com/office/drawing/2014/main" id="{BF8316DB-0E57-45FF-B50B-FBA38DCFD4C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82600" y="822960"/>
          <a:ext cx="1253490" cy="380999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179"/>
  <sheetViews>
    <sheetView tabSelected="1" view="pageBreakPreview" zoomScale="85" zoomScaleNormal="55" zoomScaleSheetLayoutView="85" workbookViewId="0">
      <selection activeCell="F17" sqref="F17"/>
    </sheetView>
  </sheetViews>
  <sheetFormatPr defaultRowHeight="14.4"/>
  <cols>
    <col min="2" max="2" width="40" customWidth="1"/>
    <col min="3" max="3" width="16.88671875" customWidth="1"/>
    <col min="4" max="4" width="12.33203125" bestFit="1" customWidth="1"/>
    <col min="5" max="5" width="11.88671875" customWidth="1"/>
    <col min="6" max="6" width="30.109375" customWidth="1"/>
    <col min="7" max="7" width="13.33203125" customWidth="1"/>
    <col min="8" max="8" width="43.44140625" customWidth="1"/>
    <col min="9" max="9" width="15.33203125" customWidth="1"/>
    <col min="10" max="10" width="13.33203125" bestFit="1" customWidth="1"/>
    <col min="11" max="11" width="10" bestFit="1" customWidth="1"/>
    <col min="12" max="12" width="28" customWidth="1"/>
  </cols>
  <sheetData>
    <row r="1" spans="2:13" ht="20.399999999999999" thickBot="1">
      <c r="B1" s="175" t="s">
        <v>326</v>
      </c>
      <c r="C1" s="175"/>
      <c r="D1" s="175"/>
      <c r="E1" s="175"/>
      <c r="F1" s="175"/>
    </row>
    <row r="2" spans="2:13" ht="15" thickTop="1"/>
    <row r="3" spans="2:13">
      <c r="B3" s="120" t="s">
        <v>229</v>
      </c>
      <c r="C3" t="s">
        <v>339</v>
      </c>
      <c r="D3" s="120" t="s">
        <v>230</v>
      </c>
      <c r="E3" s="119">
        <f ca="1">TODAY()</f>
        <v>46037</v>
      </c>
      <c r="F3" s="120" t="s">
        <v>231</v>
      </c>
      <c r="G3" s="119">
        <v>43731</v>
      </c>
    </row>
    <row r="4" spans="2:13" ht="15" thickBot="1"/>
    <row r="5" spans="2:13" ht="18.600000000000001" thickBot="1">
      <c r="B5" s="176" t="s">
        <v>0</v>
      </c>
      <c r="C5" s="177"/>
      <c r="D5" s="3"/>
      <c r="E5" s="4"/>
      <c r="F5" s="4"/>
      <c r="H5" s="87" t="s">
        <v>165</v>
      </c>
      <c r="I5" s="4"/>
      <c r="J5" s="4"/>
      <c r="K5" s="82"/>
    </row>
    <row r="6" spans="2:13" ht="16.2" thickBot="1">
      <c r="B6" s="5"/>
      <c r="C6" s="5"/>
    </row>
    <row r="7" spans="2:13" ht="15.6">
      <c r="B7" s="86" t="s">
        <v>174</v>
      </c>
      <c r="C7" s="6"/>
      <c r="D7" s="6"/>
      <c r="E7" s="6"/>
      <c r="F7" s="7"/>
      <c r="H7" s="147" t="s">
        <v>307</v>
      </c>
      <c r="I7" s="88" t="s">
        <v>39</v>
      </c>
      <c r="J7" s="89">
        <f>D33</f>
        <v>507.90050000000002</v>
      </c>
      <c r="K7" s="90" t="s">
        <v>40</v>
      </c>
      <c r="L7" s="148"/>
    </row>
    <row r="8" spans="2:13" ht="15.6">
      <c r="B8" s="8" t="s">
        <v>175</v>
      </c>
      <c r="C8" s="5" t="s">
        <v>97</v>
      </c>
      <c r="D8" s="9">
        <v>600</v>
      </c>
      <c r="E8" s="10" t="s">
        <v>2</v>
      </c>
      <c r="F8" s="11"/>
      <c r="H8" s="91"/>
      <c r="I8" s="92" t="s">
        <v>70</v>
      </c>
      <c r="J8" s="93">
        <f>J59</f>
        <v>503.32941519946263</v>
      </c>
      <c r="K8" s="94" t="s">
        <v>40</v>
      </c>
      <c r="L8" s="95" t="str">
        <f>J60</f>
        <v>Fail</v>
      </c>
    </row>
    <row r="9" spans="2:13" ht="15.6">
      <c r="B9" s="8" t="s">
        <v>176</v>
      </c>
      <c r="C9" s="5" t="s">
        <v>3</v>
      </c>
      <c r="D9" s="9">
        <v>1000</v>
      </c>
      <c r="E9" s="10" t="s">
        <v>2</v>
      </c>
      <c r="F9" s="11"/>
      <c r="H9" s="91"/>
      <c r="I9" s="96" t="s">
        <v>166</v>
      </c>
      <c r="J9" s="93">
        <f>D56</f>
        <v>1241.7484937910106</v>
      </c>
      <c r="K9" s="94" t="s">
        <v>167</v>
      </c>
      <c r="L9" s="95" t="str">
        <f>D57</f>
        <v>Pass</v>
      </c>
      <c r="M9" s="174">
        <f>J7/J8</f>
        <v>1.0090816961268316</v>
      </c>
    </row>
    <row r="10" spans="2:13" ht="18">
      <c r="B10" s="8" t="s">
        <v>4</v>
      </c>
      <c r="C10" s="81" t="s">
        <v>124</v>
      </c>
      <c r="D10" s="9">
        <v>24</v>
      </c>
      <c r="E10" s="10" t="s">
        <v>5</v>
      </c>
      <c r="F10" s="11"/>
      <c r="H10" s="91"/>
      <c r="I10" s="97"/>
      <c r="J10" s="98"/>
      <c r="K10" s="97"/>
      <c r="L10" s="95"/>
    </row>
    <row r="11" spans="2:13" ht="15.6">
      <c r="B11" s="8" t="s">
        <v>134</v>
      </c>
      <c r="C11" s="5" t="s">
        <v>1</v>
      </c>
      <c r="D11" s="70">
        <f>D8-((H34*I34)+(H35*I35)+(H36*I36)+(H37*I37)+(H38*I38))/(SUM(H34:H38))</f>
        <v>492</v>
      </c>
      <c r="E11" s="10" t="s">
        <v>2</v>
      </c>
      <c r="F11" s="121" t="s">
        <v>232</v>
      </c>
      <c r="H11" s="91" t="s">
        <v>168</v>
      </c>
      <c r="I11" s="96" t="s">
        <v>171</v>
      </c>
      <c r="J11" s="93">
        <f>DESIGN!J120</f>
        <v>85.421625118221883</v>
      </c>
      <c r="K11" s="94" t="s">
        <v>46</v>
      </c>
      <c r="L11" s="95"/>
    </row>
    <row r="12" spans="2:13" ht="15.6">
      <c r="B12" s="84" t="s">
        <v>6</v>
      </c>
      <c r="D12" s="12"/>
      <c r="F12" s="13"/>
      <c r="H12" s="91"/>
      <c r="I12" s="92" t="s">
        <v>169</v>
      </c>
      <c r="J12" s="93">
        <f>DESIGN!D132</f>
        <v>1526.261205059029</v>
      </c>
      <c r="K12" s="94" t="s">
        <v>46</v>
      </c>
      <c r="L12" s="95" t="str">
        <f>DESIGN!D133</f>
        <v>Pass</v>
      </c>
    </row>
    <row r="13" spans="2:13" ht="15.6">
      <c r="B13" s="8" t="s">
        <v>7</v>
      </c>
      <c r="C13" s="5" t="s">
        <v>8</v>
      </c>
      <c r="D13" s="9">
        <v>80</v>
      </c>
      <c r="E13" s="10" t="s">
        <v>2</v>
      </c>
      <c r="F13" s="11" t="s">
        <v>9</v>
      </c>
      <c r="H13" s="91"/>
      <c r="I13" s="92" t="s">
        <v>170</v>
      </c>
      <c r="J13" s="93">
        <f>DESIGN!J132</f>
        <v>1526.261205059029</v>
      </c>
      <c r="K13" s="94" t="s">
        <v>46</v>
      </c>
      <c r="L13" s="95" t="str">
        <f>DESIGN!J133</f>
        <v>Pass</v>
      </c>
    </row>
    <row r="14" spans="2:13" ht="15.6">
      <c r="B14" s="8" t="s">
        <v>10</v>
      </c>
      <c r="C14" s="5" t="s">
        <v>8</v>
      </c>
      <c r="D14" s="9">
        <v>80</v>
      </c>
      <c r="E14" s="10" t="s">
        <v>2</v>
      </c>
      <c r="F14" s="11" t="s">
        <v>9</v>
      </c>
      <c r="H14" s="91"/>
      <c r="I14" s="97"/>
      <c r="J14" s="99"/>
      <c r="K14" s="97"/>
      <c r="L14" s="95"/>
    </row>
    <row r="15" spans="2:13" ht="15.6">
      <c r="B15" s="8" t="s">
        <v>11</v>
      </c>
      <c r="C15" s="5" t="s">
        <v>12</v>
      </c>
      <c r="D15" s="9">
        <v>24</v>
      </c>
      <c r="E15" s="10" t="s">
        <v>2</v>
      </c>
      <c r="F15" s="11"/>
      <c r="H15" s="91" t="s">
        <v>177</v>
      </c>
      <c r="I15" s="96" t="s">
        <v>157</v>
      </c>
      <c r="J15" s="99">
        <f>DESIGN!D176</f>
        <v>24.182581057470756</v>
      </c>
      <c r="K15" s="94" t="s">
        <v>25</v>
      </c>
      <c r="L15" s="100" t="str">
        <f>DESIGN!D177</f>
        <v>Pass</v>
      </c>
    </row>
    <row r="16" spans="2:13" ht="15.6">
      <c r="B16" s="8" t="s">
        <v>13</v>
      </c>
      <c r="C16" s="5" t="s">
        <v>14</v>
      </c>
      <c r="D16" s="9">
        <v>24</v>
      </c>
      <c r="E16" s="10" t="s">
        <v>2</v>
      </c>
      <c r="F16" s="11"/>
      <c r="H16" s="91"/>
      <c r="I16" s="96" t="s">
        <v>159</v>
      </c>
      <c r="J16" s="99">
        <f>DESIGN!D178</f>
        <v>-0.35316155555555551</v>
      </c>
      <c r="K16" s="94" t="s">
        <v>25</v>
      </c>
      <c r="L16" s="100" t="str">
        <f>DESIGN!D179</f>
        <v>Pass</v>
      </c>
    </row>
    <row r="17" spans="2:16" ht="15.6">
      <c r="B17" s="84" t="s">
        <v>15</v>
      </c>
      <c r="D17" s="12"/>
      <c r="F17" s="13"/>
      <c r="H17" s="91"/>
      <c r="I17" s="97"/>
      <c r="J17" s="99"/>
      <c r="K17" s="97"/>
      <c r="L17" s="95"/>
    </row>
    <row r="18" spans="2:16" ht="15.6">
      <c r="B18" s="8" t="s">
        <v>16</v>
      </c>
      <c r="C18" s="5" t="s">
        <v>17</v>
      </c>
      <c r="D18" s="9">
        <v>16</v>
      </c>
      <c r="E18" s="10" t="s">
        <v>2</v>
      </c>
      <c r="F18" s="14"/>
      <c r="H18" s="91" t="s">
        <v>178</v>
      </c>
      <c r="I18" s="96" t="s">
        <v>157</v>
      </c>
      <c r="J18" s="99">
        <f>DESIGN!J176</f>
        <v>24.182581057470756</v>
      </c>
      <c r="K18" s="94" t="s">
        <v>25</v>
      </c>
      <c r="L18" s="100" t="str">
        <f>DESIGN!J177</f>
        <v>Pass</v>
      </c>
    </row>
    <row r="19" spans="2:16" ht="16.2" thickBot="1">
      <c r="B19" s="8" t="s">
        <v>18</v>
      </c>
      <c r="C19" s="5" t="s">
        <v>19</v>
      </c>
      <c r="D19" s="9">
        <v>200</v>
      </c>
      <c r="E19" s="10" t="s">
        <v>2</v>
      </c>
      <c r="F19" s="14"/>
      <c r="H19" s="101"/>
      <c r="I19" s="102" t="s">
        <v>159</v>
      </c>
      <c r="J19" s="103">
        <f>DESIGN!J178</f>
        <v>488.59532740768509</v>
      </c>
      <c r="K19" s="104" t="s">
        <v>25</v>
      </c>
      <c r="L19" s="105" t="str">
        <f>DESIGN!J179</f>
        <v>Fail</v>
      </c>
    </row>
    <row r="20" spans="2:16" ht="15.6">
      <c r="B20" s="8" t="s">
        <v>20</v>
      </c>
      <c r="C20" s="5"/>
      <c r="D20" s="9">
        <v>2</v>
      </c>
      <c r="F20" s="14"/>
    </row>
    <row r="21" spans="2:16" ht="15.6">
      <c r="B21" s="8" t="s">
        <v>123</v>
      </c>
      <c r="C21" s="5" t="s">
        <v>17</v>
      </c>
      <c r="D21" s="9">
        <v>12</v>
      </c>
      <c r="E21" s="10" t="s">
        <v>2</v>
      </c>
      <c r="F21" s="11"/>
    </row>
    <row r="22" spans="2:16" ht="15.6">
      <c r="B22" s="84" t="s">
        <v>22</v>
      </c>
      <c r="C22" s="15"/>
      <c r="D22" s="16"/>
      <c r="F22" s="11"/>
    </row>
    <row r="23" spans="2:16" ht="15.6">
      <c r="B23" s="8" t="s">
        <v>23</v>
      </c>
      <c r="C23" s="5" t="s">
        <v>24</v>
      </c>
      <c r="D23" s="9">
        <v>50</v>
      </c>
      <c r="E23" s="10" t="s">
        <v>25</v>
      </c>
      <c r="F23" s="11"/>
    </row>
    <row r="24" spans="2:16" ht="16.2" thickBot="1">
      <c r="B24" s="8" t="s">
        <v>26</v>
      </c>
      <c r="C24" s="5" t="s">
        <v>27</v>
      </c>
      <c r="D24" s="9">
        <v>500</v>
      </c>
      <c r="E24" s="10" t="s">
        <v>25</v>
      </c>
      <c r="F24" s="11" t="s">
        <v>28</v>
      </c>
      <c r="O24" t="s">
        <v>328</v>
      </c>
      <c r="P24" s="9">
        <v>250</v>
      </c>
    </row>
    <row r="25" spans="2:16" ht="16.2" thickBot="1">
      <c r="B25" s="8" t="s">
        <v>29</v>
      </c>
      <c r="C25" s="5" t="s">
        <v>27</v>
      </c>
      <c r="D25" s="9">
        <v>500</v>
      </c>
      <c r="E25" s="10" t="s">
        <v>25</v>
      </c>
      <c r="F25" s="11" t="s">
        <v>28</v>
      </c>
      <c r="H25" s="20" t="s">
        <v>325</v>
      </c>
      <c r="I25" s="21"/>
      <c r="J25" s="22"/>
      <c r="O25" t="s">
        <v>329</v>
      </c>
      <c r="P25">
        <f>ROUNDDOWN(1+(D9-2*D14)/P24,0)</f>
        <v>4</v>
      </c>
    </row>
    <row r="26" spans="2:16" ht="16.2" thickTop="1">
      <c r="B26" s="8" t="s">
        <v>102</v>
      </c>
      <c r="C26" s="5" t="s">
        <v>103</v>
      </c>
      <c r="D26" s="9">
        <v>500</v>
      </c>
      <c r="E26" s="10" t="s">
        <v>25</v>
      </c>
      <c r="F26" s="11" t="s">
        <v>28</v>
      </c>
      <c r="H26" s="23" t="s">
        <v>53</v>
      </c>
      <c r="I26" s="24" t="s">
        <v>72</v>
      </c>
      <c r="J26" s="25" t="s">
        <v>73</v>
      </c>
      <c r="K26" t="s">
        <v>18</v>
      </c>
    </row>
    <row r="27" spans="2:16" ht="15.6">
      <c r="B27" s="8" t="s">
        <v>30</v>
      </c>
      <c r="C27" s="5" t="s">
        <v>31</v>
      </c>
      <c r="D27" s="17">
        <v>200000</v>
      </c>
      <c r="E27" s="10" t="s">
        <v>25</v>
      </c>
      <c r="F27" s="11" t="s">
        <v>32</v>
      </c>
      <c r="H27" s="26">
        <f>IFERROR(ROUNDDOWN(1+($D$9-2*$D$14)/K27,0), 0)</f>
        <v>5</v>
      </c>
      <c r="I27" s="27">
        <f>IF(H27=0,0,D13+0.5*D15+D18)</f>
        <v>108</v>
      </c>
      <c r="J27" s="28">
        <f>H27*I27</f>
        <v>540</v>
      </c>
      <c r="K27">
        <v>200</v>
      </c>
    </row>
    <row r="28" spans="2:16" ht="15.6">
      <c r="B28" s="8" t="s">
        <v>226</v>
      </c>
      <c r="C28" s="5" t="s">
        <v>227</v>
      </c>
      <c r="D28" s="9">
        <v>16</v>
      </c>
      <c r="E28" s="10" t="s">
        <v>2</v>
      </c>
      <c r="F28" s="11" t="s">
        <v>184</v>
      </c>
      <c r="H28" s="29">
        <f t="shared" ref="H28:H31" si="0">IFERROR(ROUNDDOWN(1+($D$9-2*$D$14)/K28,0), 0)</f>
        <v>0</v>
      </c>
      <c r="I28" s="30">
        <f>IF(H28=0,0,I27+150)</f>
        <v>0</v>
      </c>
      <c r="J28" s="31">
        <f>H28*I28</f>
        <v>0</v>
      </c>
      <c r="K28" s="151">
        <v>0</v>
      </c>
    </row>
    <row r="29" spans="2:16" ht="15.6">
      <c r="B29" s="84" t="s">
        <v>33</v>
      </c>
      <c r="D29" s="12"/>
      <c r="F29" s="13"/>
      <c r="H29" s="29">
        <f t="shared" si="0"/>
        <v>0</v>
      </c>
      <c r="I29" s="30">
        <f>IF(H29=0,0,I28+150)</f>
        <v>0</v>
      </c>
      <c r="J29" s="31">
        <f>H29*I29</f>
        <v>0</v>
      </c>
      <c r="K29">
        <v>0</v>
      </c>
    </row>
    <row r="30" spans="2:16" ht="15.6">
      <c r="B30" s="8" t="s">
        <v>34</v>
      </c>
      <c r="C30" s="18" t="s">
        <v>35</v>
      </c>
      <c r="D30" s="9">
        <v>0.8</v>
      </c>
      <c r="F30" s="11" t="s">
        <v>36</v>
      </c>
      <c r="H30" s="29">
        <f t="shared" si="0"/>
        <v>0</v>
      </c>
      <c r="I30" s="30">
        <f>IF(H30=0,0,I29+$D$13+0.5*$D$15)</f>
        <v>0</v>
      </c>
      <c r="J30" s="31">
        <f>H30*I30</f>
        <v>0</v>
      </c>
      <c r="K30">
        <v>0</v>
      </c>
    </row>
    <row r="31" spans="2:16" ht="16.2" thickBot="1">
      <c r="B31" s="8" t="s">
        <v>145</v>
      </c>
      <c r="C31" s="18" t="s">
        <v>35</v>
      </c>
      <c r="D31" s="9">
        <v>0.7</v>
      </c>
      <c r="F31" s="11" t="s">
        <v>36</v>
      </c>
      <c r="H31" s="29">
        <f t="shared" si="0"/>
        <v>0</v>
      </c>
      <c r="I31" s="30">
        <f>IF(H31=0,0,I30+$D$13+0.5*$D$15)</f>
        <v>0</v>
      </c>
      <c r="J31" s="31">
        <f>H31*I31</f>
        <v>0</v>
      </c>
      <c r="K31">
        <v>0</v>
      </c>
    </row>
    <row r="32" spans="2:16" ht="16.2" thickBot="1">
      <c r="B32" s="84" t="s">
        <v>37</v>
      </c>
      <c r="C32" s="5"/>
      <c r="D32" s="85"/>
      <c r="F32" s="14"/>
      <c r="H32" s="20" t="s">
        <v>324</v>
      </c>
      <c r="I32" s="21"/>
      <c r="J32" s="32"/>
    </row>
    <row r="33" spans="2:12" ht="16.2" thickTop="1">
      <c r="B33" s="8" t="s">
        <v>38</v>
      </c>
      <c r="C33" s="5" t="s">
        <v>39</v>
      </c>
      <c r="D33" s="153">
        <v>507.90050000000002</v>
      </c>
      <c r="E33" s="10" t="s">
        <v>40</v>
      </c>
      <c r="F33" s="11" t="s">
        <v>41</v>
      </c>
      <c r="H33" s="23" t="s">
        <v>53</v>
      </c>
      <c r="I33" s="24" t="s">
        <v>72</v>
      </c>
      <c r="J33" s="25" t="s">
        <v>73</v>
      </c>
    </row>
    <row r="34" spans="2:12" ht="15.6">
      <c r="B34" s="8" t="s">
        <v>42</v>
      </c>
      <c r="C34" s="5" t="s">
        <v>43</v>
      </c>
      <c r="D34" s="9">
        <v>0</v>
      </c>
      <c r="E34" s="10" t="s">
        <v>40</v>
      </c>
      <c r="F34" s="11" t="s">
        <v>41</v>
      </c>
      <c r="H34" s="26">
        <f>IFERROR(ROUNDDOWN(1+($D$9-2*$D$14)/K34,0), 0)</f>
        <v>5</v>
      </c>
      <c r="I34" s="27">
        <f>IF(H34=0,0,D14+0.5*D16+D18)</f>
        <v>108</v>
      </c>
      <c r="J34" s="28">
        <f>H34*I34</f>
        <v>540</v>
      </c>
      <c r="K34">
        <v>200</v>
      </c>
    </row>
    <row r="35" spans="2:12" ht="15.6">
      <c r="B35" s="8" t="s">
        <v>224</v>
      </c>
      <c r="C35" s="5" t="s">
        <v>225</v>
      </c>
      <c r="D35" s="153">
        <v>1.5892269999999999</v>
      </c>
      <c r="E35" s="10" t="s">
        <v>46</v>
      </c>
      <c r="F35" s="11" t="s">
        <v>41</v>
      </c>
      <c r="H35" s="29">
        <f t="shared" ref="H35:H38" si="1">IFERROR(ROUNDDOWN(1+($D$9-2*$D$14)/K35,0), 0)</f>
        <v>0</v>
      </c>
      <c r="I35" s="30">
        <f>IF(H35=0,0,I34+D16*0.5)</f>
        <v>0</v>
      </c>
      <c r="J35" s="31">
        <f>H35*I35</f>
        <v>0</v>
      </c>
      <c r="K35">
        <v>0</v>
      </c>
    </row>
    <row r="36" spans="2:12" ht="15.6">
      <c r="B36" s="8" t="s">
        <v>44</v>
      </c>
      <c r="C36" s="5" t="s">
        <v>45</v>
      </c>
      <c r="D36" s="152">
        <v>3.9005040000000002</v>
      </c>
      <c r="E36" s="10" t="s">
        <v>46</v>
      </c>
      <c r="F36" s="11" t="s">
        <v>41</v>
      </c>
      <c r="H36" s="29">
        <f t="shared" si="1"/>
        <v>0</v>
      </c>
      <c r="I36" s="30">
        <f>IF(H36=0,0,I35+$D$13+0.5*$D$16)</f>
        <v>0</v>
      </c>
      <c r="J36" s="31">
        <f>H36*I36</f>
        <v>0</v>
      </c>
      <c r="K36">
        <v>0</v>
      </c>
    </row>
    <row r="37" spans="2:12" ht="15.6">
      <c r="B37" s="8" t="s">
        <v>49</v>
      </c>
      <c r="C37" s="5" t="s">
        <v>50</v>
      </c>
      <c r="D37" s="9">
        <v>22.526700000000002</v>
      </c>
      <c r="E37" s="10" t="s">
        <v>40</v>
      </c>
      <c r="F37" s="11" t="s">
        <v>41</v>
      </c>
      <c r="H37" s="29">
        <f t="shared" si="1"/>
        <v>0</v>
      </c>
      <c r="I37" s="30">
        <f>IF(H37=0,0,I36+$D$13+0.5*$D$16)</f>
        <v>0</v>
      </c>
      <c r="J37" s="31">
        <f>H37*I37</f>
        <v>0</v>
      </c>
      <c r="K37">
        <v>0</v>
      </c>
    </row>
    <row r="38" spans="2:12" ht="15.6">
      <c r="B38" s="8" t="s">
        <v>47</v>
      </c>
      <c r="C38" s="5" t="s">
        <v>39</v>
      </c>
      <c r="D38" s="152">
        <v>507.90050000000002</v>
      </c>
      <c r="E38" s="10" t="s">
        <v>40</v>
      </c>
      <c r="F38" s="11" t="s">
        <v>41</v>
      </c>
      <c r="H38" s="29">
        <f t="shared" si="1"/>
        <v>0</v>
      </c>
      <c r="I38" s="30">
        <f>IF(H38=0,0,I37+$D$13+0.5*$D$16)</f>
        <v>0</v>
      </c>
      <c r="J38" s="31">
        <f>H38*I38</f>
        <v>0</v>
      </c>
      <c r="K38">
        <v>0</v>
      </c>
    </row>
    <row r="39" spans="2:12" ht="16.2" thickBot="1">
      <c r="B39" s="38" t="s">
        <v>48</v>
      </c>
      <c r="C39" s="39" t="s">
        <v>43</v>
      </c>
      <c r="D39" s="83">
        <v>0</v>
      </c>
      <c r="E39" s="40" t="s">
        <v>40</v>
      </c>
      <c r="F39" s="43" t="s">
        <v>41</v>
      </c>
      <c r="H39" s="34" t="s">
        <v>74</v>
      </c>
      <c r="I39" s="35" t="s">
        <v>52</v>
      </c>
      <c r="J39" s="36"/>
      <c r="L39" s="120"/>
    </row>
    <row r="40" spans="2:12" ht="15" thickBot="1"/>
    <row r="41" spans="2:12" ht="18.600000000000001" thickBot="1">
      <c r="B41" s="1" t="s">
        <v>51</v>
      </c>
      <c r="C41" s="5"/>
      <c r="I41" s="48"/>
      <c r="J41" s="48"/>
    </row>
    <row r="42" spans="2:12" ht="16.2" thickBot="1">
      <c r="B42" s="5"/>
      <c r="C42" s="5"/>
    </row>
    <row r="43" spans="2:12" ht="15.6">
      <c r="B43" s="37" t="s">
        <v>99</v>
      </c>
      <c r="C43" s="6"/>
      <c r="D43" s="6"/>
      <c r="E43" s="6"/>
      <c r="F43" s="7"/>
    </row>
    <row r="44" spans="2:12">
      <c r="B44" s="44" t="s">
        <v>100</v>
      </c>
      <c r="F44" s="13"/>
    </row>
    <row r="45" spans="2:12">
      <c r="B45" s="44" t="s">
        <v>109</v>
      </c>
      <c r="F45" s="13"/>
    </row>
    <row r="46" spans="2:12">
      <c r="B46" s="44"/>
      <c r="F46" s="13"/>
    </row>
    <row r="47" spans="2:12" ht="15" thickBot="1">
      <c r="B47" s="45"/>
      <c r="C47" s="46"/>
      <c r="D47" s="46"/>
      <c r="E47" s="46"/>
      <c r="F47" s="47"/>
    </row>
    <row r="48" spans="2:12" ht="15" thickBot="1"/>
    <row r="49" spans="2:16" ht="15.6">
      <c r="B49" s="67"/>
      <c r="C49" s="68"/>
      <c r="D49" s="21"/>
      <c r="E49" s="21"/>
      <c r="F49" s="22"/>
    </row>
    <row r="50" spans="2:16" ht="15.6">
      <c r="B50" s="8" t="s">
        <v>54</v>
      </c>
      <c r="C50" s="5" t="s">
        <v>1</v>
      </c>
      <c r="D50" s="70">
        <f>D8-((H34*I34)+(H35*I35)+(H36*I36)+(H37*I37)+(H38*I38))/(SUM(H34:H38))</f>
        <v>492</v>
      </c>
      <c r="E50" s="10" t="s">
        <v>2</v>
      </c>
      <c r="F50" s="14"/>
      <c r="N50" s="42"/>
    </row>
    <row r="51" spans="2:16" ht="15.6">
      <c r="B51" s="8" t="s">
        <v>295</v>
      </c>
      <c r="C51" s="5" t="s">
        <v>55</v>
      </c>
      <c r="D51" s="71">
        <f>SUM(H34:H38)*ROUND(PI()*D16^2*0.25,-1)</f>
        <v>2250</v>
      </c>
      <c r="E51" s="10" t="s">
        <v>56</v>
      </c>
      <c r="F51" s="14"/>
    </row>
    <row r="52" spans="2:16" ht="16.2" thickBot="1">
      <c r="B52" s="8" t="s">
        <v>296</v>
      </c>
      <c r="C52" s="5" t="s">
        <v>297</v>
      </c>
      <c r="D52" s="71">
        <f>SUM(H27:H31)*ROUND(PI()*D15^2*0.25,-1)</f>
        <v>2250</v>
      </c>
      <c r="E52" s="10" t="s">
        <v>56</v>
      </c>
      <c r="F52" s="13"/>
    </row>
    <row r="53" spans="2:16" ht="15.6">
      <c r="B53" s="8" t="s">
        <v>57</v>
      </c>
      <c r="C53" s="5" t="s">
        <v>58</v>
      </c>
      <c r="D53" s="70">
        <f>IF(0.85-0.0015*($D$23)&lt;0.67,0.67,0.85-0.0015*($D$23))</f>
        <v>0.77500000000000002</v>
      </c>
      <c r="F53" s="11" t="s">
        <v>59</v>
      </c>
      <c r="H53" s="133" t="s">
        <v>308</v>
      </c>
      <c r="I53" s="134" t="s">
        <v>309</v>
      </c>
      <c r="J53" s="135">
        <f>D8-((H27*I27)+(H28*I28)+(H29*I29)+(H30*I30)+(H31*I31))/(SUM(H27:H31))</f>
        <v>492</v>
      </c>
      <c r="K53" s="135" t="s">
        <v>2</v>
      </c>
      <c r="L53" s="7"/>
    </row>
    <row r="54" spans="2:16" ht="15.6">
      <c r="B54" s="8" t="s">
        <v>60</v>
      </c>
      <c r="C54" s="18" t="s">
        <v>61</v>
      </c>
      <c r="D54" s="70">
        <f>IF(0.97-0.0025*($D$23)&lt;0.67,0.67,0.97-0.0025*($D$23))</f>
        <v>0.84499999999999997</v>
      </c>
      <c r="F54" s="11" t="s">
        <v>59</v>
      </c>
      <c r="H54" s="8" t="s">
        <v>298</v>
      </c>
      <c r="I54" s="108" t="s">
        <v>306</v>
      </c>
      <c r="J54" s="71">
        <f>J84-D86</f>
        <v>345.80840210741439</v>
      </c>
      <c r="K54" s="70" t="s">
        <v>46</v>
      </c>
      <c r="L54" s="13"/>
    </row>
    <row r="55" spans="2:16" ht="15.6">
      <c r="B55" s="8" t="s">
        <v>294</v>
      </c>
      <c r="C55" s="5" t="s">
        <v>237</v>
      </c>
      <c r="D55" s="156">
        <v>58.558438361553179</v>
      </c>
      <c r="E55" s="136" t="s">
        <v>2</v>
      </c>
      <c r="F55" s="11"/>
      <c r="H55" s="8" t="s">
        <v>62</v>
      </c>
      <c r="I55" s="108" t="s">
        <v>299</v>
      </c>
      <c r="J55" s="110">
        <f>D55/D50</f>
        <v>0.11902121618201866</v>
      </c>
      <c r="K55" s="70"/>
      <c r="L55" s="13"/>
    </row>
    <row r="56" spans="2:16" ht="15.6">
      <c r="B56" s="8" t="s">
        <v>65</v>
      </c>
      <c r="C56" s="5" t="s">
        <v>66</v>
      </c>
      <c r="D56" s="71">
        <f>0.2*((D8/D50)^2)*0.6*SQRT(D23)/D24*D9*D50</f>
        <v>1241.7484937910106</v>
      </c>
      <c r="E56" s="10" t="s">
        <v>56</v>
      </c>
      <c r="F56" s="11" t="s">
        <v>67</v>
      </c>
      <c r="H56" s="8" t="s">
        <v>63</v>
      </c>
      <c r="I56" s="5"/>
      <c r="J56" s="150" t="str">
        <f>IF(J55&gt;0.36,"Check ku","ku OK")</f>
        <v>ku OK</v>
      </c>
      <c r="K56" s="69"/>
      <c r="L56" s="11" t="s">
        <v>64</v>
      </c>
    </row>
    <row r="57" spans="2:16" ht="15.6">
      <c r="B57" s="8" t="s">
        <v>68</v>
      </c>
      <c r="C57" s="5"/>
      <c r="D57" s="57" t="str">
        <f>IF(D51&gt;D56,"Pass","Fail")</f>
        <v>Pass</v>
      </c>
      <c r="E57" t="s">
        <v>69</v>
      </c>
      <c r="F57" s="11" t="s">
        <v>317</v>
      </c>
      <c r="H57" s="8" t="s">
        <v>300</v>
      </c>
      <c r="I57" s="108" t="s">
        <v>301</v>
      </c>
      <c r="J57" s="118">
        <f>((J78*1000*(D8-I34)+J79*1000*(D8-I35)+J80*1000*(D8-I36)+J81*1000*(D8-I37)+J82*1000*(D8-I38))-(D84*1000*D54*D55*0.5)-(D78*1000*I27+D79*1000*I28+D80*1000*I29+D81*1000*I30+D82*1000*I31))*10^-6</f>
        <v>629.16176899932827</v>
      </c>
      <c r="K57" s="70" t="s">
        <v>192</v>
      </c>
      <c r="L57" s="13"/>
    </row>
    <row r="58" spans="2:16" ht="15.6">
      <c r="B58" s="8" t="s">
        <v>68</v>
      </c>
      <c r="C58" s="5"/>
      <c r="D58" s="57" t="str">
        <f>IF(D51&gt;J138,"Pass","Fail")</f>
        <v>Fail</v>
      </c>
      <c r="E58" t="s">
        <v>69</v>
      </c>
      <c r="F58" s="11" t="s">
        <v>318</v>
      </c>
      <c r="H58" s="8" t="s">
        <v>303</v>
      </c>
      <c r="I58" s="108" t="s">
        <v>302</v>
      </c>
      <c r="J58" s="118">
        <f>1.2*(D9*(D8^2)/6)*(0.6*SQRT(D23))/1000000</f>
        <v>305.4701294725885</v>
      </c>
      <c r="K58" s="70" t="s">
        <v>192</v>
      </c>
      <c r="L58" s="13"/>
    </row>
    <row r="59" spans="2:16" ht="15.6">
      <c r="B59" s="8" t="s">
        <v>239</v>
      </c>
      <c r="C59" s="5" t="s">
        <v>292</v>
      </c>
      <c r="D59" s="136">
        <v>3.0000000000000001E-3</v>
      </c>
      <c r="E59" s="136" t="s">
        <v>197</v>
      </c>
      <c r="F59" s="13"/>
      <c r="H59" s="8" t="s">
        <v>304</v>
      </c>
      <c r="I59" s="108" t="s">
        <v>305</v>
      </c>
      <c r="J59" s="118">
        <f>J57*D30</f>
        <v>503.32941519946263</v>
      </c>
      <c r="K59" s="70" t="s">
        <v>192</v>
      </c>
      <c r="L59" s="13"/>
    </row>
    <row r="60" spans="2:16" ht="16.2" thickBot="1">
      <c r="B60" s="38" t="s">
        <v>238</v>
      </c>
      <c r="C60" s="39" t="s">
        <v>293</v>
      </c>
      <c r="D60" s="157">
        <v>2.5000000000000001E-3</v>
      </c>
      <c r="E60" s="157" t="s">
        <v>197</v>
      </c>
      <c r="F60" s="47"/>
      <c r="H60" s="38" t="s">
        <v>71</v>
      </c>
      <c r="I60" s="39"/>
      <c r="J60" s="59" t="str">
        <f>IF(J59&gt;D33,"Pass","Fail")</f>
        <v>Fail</v>
      </c>
      <c r="K60" s="40"/>
      <c r="L60" s="43" t="s">
        <v>52</v>
      </c>
      <c r="P60" s="42"/>
    </row>
    <row r="61" spans="2:16" ht="15" thickBot="1"/>
    <row r="62" spans="2:16" ht="15.6">
      <c r="B62" s="37" t="s">
        <v>240</v>
      </c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2:16">
      <c r="B63" s="127"/>
      <c r="L63" s="13"/>
    </row>
    <row r="64" spans="2:16">
      <c r="B64" s="137" t="s">
        <v>235</v>
      </c>
      <c r="C64" s="132"/>
      <c r="D64" s="138"/>
      <c r="E64" s="139"/>
      <c r="F64" s="130"/>
      <c r="G64" s="130"/>
      <c r="H64" s="129" t="s">
        <v>236</v>
      </c>
      <c r="I64" s="132"/>
      <c r="J64" s="138"/>
      <c r="K64" s="139"/>
      <c r="L64" s="146"/>
    </row>
    <row r="65" spans="2:15" ht="15.6">
      <c r="B65" s="140"/>
      <c r="C65" s="130"/>
      <c r="D65" s="141"/>
      <c r="H65" s="130"/>
      <c r="I65" s="130"/>
      <c r="J65" s="141"/>
      <c r="L65" s="146"/>
    </row>
    <row r="66" spans="2:15" ht="15.6">
      <c r="B66" s="8" t="s">
        <v>241</v>
      </c>
      <c r="C66" s="5" t="s">
        <v>282</v>
      </c>
      <c r="D66" s="142">
        <f>IF(I27=0,0,$D$59*($D$55-I27)/$D$55)</f>
        <v>-2.5329344337967135E-3</v>
      </c>
      <c r="E66" s="136" t="s">
        <v>197</v>
      </c>
      <c r="H66" s="5" t="s">
        <v>261</v>
      </c>
      <c r="I66" s="5" t="s">
        <v>282</v>
      </c>
      <c r="J66" s="10">
        <f>IF(I34=0,0,$D$59*($D$8-I34-$D$55)/$D$55)</f>
        <v>2.2205590198407253E-2</v>
      </c>
      <c r="K66" s="136" t="s">
        <v>197</v>
      </c>
      <c r="L66" s="146"/>
      <c r="M66" s="130"/>
      <c r="N66" s="131"/>
      <c r="O66" s="130"/>
    </row>
    <row r="67" spans="2:15" ht="15.6">
      <c r="B67" s="8" t="s">
        <v>242</v>
      </c>
      <c r="C67" s="5" t="s">
        <v>283</v>
      </c>
      <c r="D67" s="142">
        <f>IF(I28=0,0,$D$59*($D$55-I28)/$D$55)</f>
        <v>0</v>
      </c>
      <c r="E67" s="136" t="s">
        <v>197</v>
      </c>
      <c r="H67" s="5" t="s">
        <v>262</v>
      </c>
      <c r="I67" s="5" t="s">
        <v>283</v>
      </c>
      <c r="J67" s="10">
        <f>IF(I35=0,0,$D$59*($D$8-I35-$D$55)/$D$55)</f>
        <v>0</v>
      </c>
      <c r="K67" s="136" t="s">
        <v>197</v>
      </c>
      <c r="L67" s="146"/>
      <c r="M67" s="130"/>
      <c r="N67" s="131"/>
      <c r="O67" s="130"/>
    </row>
    <row r="68" spans="2:15" ht="15.6">
      <c r="B68" s="8" t="s">
        <v>243</v>
      </c>
      <c r="C68" s="5" t="s">
        <v>284</v>
      </c>
      <c r="D68" s="142">
        <f>IF(I29=0,0,$D$59*($D$55-I29)/$D$55)</f>
        <v>0</v>
      </c>
      <c r="E68" s="136" t="s">
        <v>197</v>
      </c>
      <c r="H68" s="5" t="s">
        <v>263</v>
      </c>
      <c r="I68" s="5" t="s">
        <v>284</v>
      </c>
      <c r="J68" s="10">
        <f>IF(I36=0,0,$D$59*($D$8-I36-$D$55)/$D$55)</f>
        <v>0</v>
      </c>
      <c r="K68" s="136" t="s">
        <v>197</v>
      </c>
      <c r="L68" s="13"/>
      <c r="M68" s="130"/>
      <c r="N68" s="131"/>
      <c r="O68" s="130"/>
    </row>
    <row r="69" spans="2:15" ht="15.6">
      <c r="B69" s="8" t="s">
        <v>244</v>
      </c>
      <c r="C69" s="5" t="s">
        <v>285</v>
      </c>
      <c r="D69" s="142">
        <f>IF(I30=0,0,$D$59*($D$55-I30)/$D$55)</f>
        <v>0</v>
      </c>
      <c r="E69" s="136" t="s">
        <v>197</v>
      </c>
      <c r="H69" s="5" t="s">
        <v>264</v>
      </c>
      <c r="I69" s="5" t="s">
        <v>285</v>
      </c>
      <c r="J69" s="10">
        <f>IF(I37=0,0,$D$59*($D$8-I37-$D$55)/$D$55)</f>
        <v>0</v>
      </c>
      <c r="K69" s="136" t="s">
        <v>197</v>
      </c>
      <c r="L69" s="13"/>
    </row>
    <row r="70" spans="2:15" ht="15.6">
      <c r="B70" s="8" t="s">
        <v>245</v>
      </c>
      <c r="C70" s="5" t="s">
        <v>286</v>
      </c>
      <c r="D70" s="142">
        <f>IF(I31=0,0,$D$59*($D$55-I31)/$D$55)</f>
        <v>0</v>
      </c>
      <c r="E70" s="136" t="s">
        <v>197</v>
      </c>
      <c r="H70" s="5" t="s">
        <v>265</v>
      </c>
      <c r="I70" s="5" t="s">
        <v>286</v>
      </c>
      <c r="J70" s="10">
        <f>IF(I38=0,0,$D$59*($D$8-I38-$D$55)/$D$55)</f>
        <v>0</v>
      </c>
      <c r="K70" s="136" t="s">
        <v>197</v>
      </c>
      <c r="L70" s="13"/>
    </row>
    <row r="71" spans="2:15" ht="15.6">
      <c r="B71" s="143"/>
      <c r="C71" s="136"/>
      <c r="D71" s="136"/>
      <c r="E71" s="136"/>
      <c r="H71" s="70"/>
      <c r="I71" s="136"/>
      <c r="J71" s="136"/>
      <c r="K71" s="136"/>
      <c r="L71" s="13"/>
    </row>
    <row r="72" spans="2:15" ht="15" customHeight="1">
      <c r="B72" s="144" t="s">
        <v>246</v>
      </c>
      <c r="C72" s="18" t="s">
        <v>287</v>
      </c>
      <c r="D72" s="149">
        <f>MIN(D66*$D$27,D24)</f>
        <v>-506.58688675934269</v>
      </c>
      <c r="E72" s="136" t="s">
        <v>25</v>
      </c>
      <c r="H72" s="108" t="s">
        <v>266</v>
      </c>
      <c r="I72" s="18" t="s">
        <v>287</v>
      </c>
      <c r="J72" s="149">
        <f>MIN(J66*$D$27,D25)</f>
        <v>500</v>
      </c>
      <c r="K72" s="136" t="s">
        <v>25</v>
      </c>
      <c r="L72" s="13"/>
    </row>
    <row r="73" spans="2:15" ht="18.600000000000001">
      <c r="B73" s="144" t="s">
        <v>247</v>
      </c>
      <c r="C73" s="18" t="s">
        <v>288</v>
      </c>
      <c r="D73" s="149">
        <f>MIN(D67*$D$27,D25)</f>
        <v>0</v>
      </c>
      <c r="E73" s="136" t="s">
        <v>25</v>
      </c>
      <c r="H73" s="108" t="s">
        <v>267</v>
      </c>
      <c r="I73" s="18" t="s">
        <v>288</v>
      </c>
      <c r="J73" s="149">
        <f>MIN(J67*$D$27,D26)</f>
        <v>0</v>
      </c>
      <c r="K73" s="136" t="s">
        <v>25</v>
      </c>
      <c r="L73" s="13"/>
    </row>
    <row r="74" spans="2:15" ht="15" customHeight="1">
      <c r="B74" s="144" t="s">
        <v>248</v>
      </c>
      <c r="C74" s="18" t="s">
        <v>289</v>
      </c>
      <c r="D74" s="149">
        <f>MIN(D68*$D$27,D26)</f>
        <v>0</v>
      </c>
      <c r="E74" s="136" t="s">
        <v>25</v>
      </c>
      <c r="H74" s="108" t="s">
        <v>268</v>
      </c>
      <c r="I74" s="18" t="s">
        <v>289</v>
      </c>
      <c r="J74" s="149">
        <f>MIN(J68*$D$27,D27)</f>
        <v>0</v>
      </c>
      <c r="K74" s="136" t="s">
        <v>25</v>
      </c>
      <c r="L74" s="13"/>
    </row>
    <row r="75" spans="2:15" ht="15.75" customHeight="1">
      <c r="B75" s="144" t="s">
        <v>249</v>
      </c>
      <c r="C75" s="18" t="s">
        <v>290</v>
      </c>
      <c r="D75" s="149">
        <f>MIN(D69*$D$27,D27)</f>
        <v>0</v>
      </c>
      <c r="E75" s="136" t="s">
        <v>25</v>
      </c>
      <c r="H75" s="108" t="s">
        <v>269</v>
      </c>
      <c r="I75" s="18" t="s">
        <v>290</v>
      </c>
      <c r="J75" s="149">
        <f>MIN(J69*$D$27,D28)</f>
        <v>0</v>
      </c>
      <c r="K75" s="136" t="s">
        <v>25</v>
      </c>
      <c r="L75" s="13"/>
    </row>
    <row r="76" spans="2:15" ht="15" customHeight="1">
      <c r="B76" s="144" t="s">
        <v>250</v>
      </c>
      <c r="C76" s="18" t="s">
        <v>291</v>
      </c>
      <c r="D76" s="149">
        <f>MIN(D70*$D$27,D28)</f>
        <v>0</v>
      </c>
      <c r="E76" s="136" t="s">
        <v>25</v>
      </c>
      <c r="H76" s="108" t="s">
        <v>270</v>
      </c>
      <c r="I76" s="18" t="s">
        <v>291</v>
      </c>
      <c r="J76" s="149">
        <f>MIN(J70*$D$27,D29)</f>
        <v>0</v>
      </c>
      <c r="K76" s="136" t="s">
        <v>25</v>
      </c>
      <c r="L76" s="13"/>
    </row>
    <row r="77" spans="2:15" ht="15.6">
      <c r="B77" s="145"/>
      <c r="C77" s="136"/>
      <c r="D77" s="149"/>
      <c r="E77" s="136"/>
      <c r="H77" s="70"/>
      <c r="I77" s="136"/>
      <c r="J77" s="149"/>
      <c r="K77" s="136"/>
      <c r="L77" s="13"/>
    </row>
    <row r="78" spans="2:15" ht="15.6">
      <c r="B78" s="144" t="s">
        <v>251</v>
      </c>
      <c r="C78" s="5" t="s">
        <v>256</v>
      </c>
      <c r="D78" s="149">
        <f>H27*ROUND(PI()*$D$15^2*0.25,-1)*D72*10^-3</f>
        <v>-1139.8204952085212</v>
      </c>
      <c r="E78" s="136" t="s">
        <v>46</v>
      </c>
      <c r="H78" s="108" t="s">
        <v>271</v>
      </c>
      <c r="I78" s="5" t="s">
        <v>256</v>
      </c>
      <c r="J78" s="149">
        <f>H34*ROUND(PI()*$D$16^2*0.25,-1)*J72*10^-3</f>
        <v>1125</v>
      </c>
      <c r="K78" s="136" t="s">
        <v>46</v>
      </c>
      <c r="L78" s="13"/>
    </row>
    <row r="79" spans="2:15" ht="15.6">
      <c r="B79" s="144" t="s">
        <v>252</v>
      </c>
      <c r="C79" s="5" t="s">
        <v>257</v>
      </c>
      <c r="D79" s="149">
        <f>H28*ROUND(PI()*$D$15^2*0.25,-1)*D73*10^-3</f>
        <v>0</v>
      </c>
      <c r="E79" s="136" t="s">
        <v>46</v>
      </c>
      <c r="H79" s="108" t="s">
        <v>272</v>
      </c>
      <c r="I79" s="5" t="s">
        <v>257</v>
      </c>
      <c r="J79" s="149">
        <f>H35*ROUND(PI()*$D$16^2*0.25,-1)*J73*10^-3</f>
        <v>0</v>
      </c>
      <c r="K79" s="136" t="s">
        <v>46</v>
      </c>
      <c r="L79" s="13"/>
    </row>
    <row r="80" spans="2:15" ht="15.6">
      <c r="B80" s="144" t="s">
        <v>253</v>
      </c>
      <c r="C80" s="5" t="s">
        <v>258</v>
      </c>
      <c r="D80" s="149">
        <f>H29*ROUND(PI()*$D$15^2*0.25,-1)*D74*10^-3</f>
        <v>0</v>
      </c>
      <c r="E80" s="136" t="s">
        <v>46</v>
      </c>
      <c r="H80" s="108" t="s">
        <v>273</v>
      </c>
      <c r="I80" s="5" t="s">
        <v>258</v>
      </c>
      <c r="J80" s="149">
        <f>H36*ROUND(PI()*$D$16^2*0.25,-1)*J74*10^-3</f>
        <v>0</v>
      </c>
      <c r="K80" s="136" t="s">
        <v>46</v>
      </c>
      <c r="L80" s="13"/>
    </row>
    <row r="81" spans="2:12" ht="15.6">
      <c r="B81" s="144" t="s">
        <v>254</v>
      </c>
      <c r="C81" s="5" t="s">
        <v>259</v>
      </c>
      <c r="D81" s="149">
        <f>H30*ROUND(PI()*$D$15^2*0.25,-1)*D75*10^-3</f>
        <v>0</v>
      </c>
      <c r="E81" s="136" t="s">
        <v>46</v>
      </c>
      <c r="H81" s="108" t="s">
        <v>274</v>
      </c>
      <c r="I81" s="5" t="s">
        <v>259</v>
      </c>
      <c r="J81" s="149">
        <f>H37*ROUND(PI()*$D$16^2*0.25,-1)*J75*10^-3</f>
        <v>0</v>
      </c>
      <c r="K81" s="136" t="s">
        <v>46</v>
      </c>
      <c r="L81" s="13"/>
    </row>
    <row r="82" spans="2:12" ht="15.6">
      <c r="B82" s="144" t="s">
        <v>255</v>
      </c>
      <c r="C82" s="5" t="s">
        <v>260</v>
      </c>
      <c r="D82" s="149">
        <f>H31*ROUND(PI()*$D$15^2*0.25,-1)*D76*10^-3</f>
        <v>0</v>
      </c>
      <c r="E82" s="136" t="s">
        <v>46</v>
      </c>
      <c r="H82" s="108" t="s">
        <v>275</v>
      </c>
      <c r="I82" s="5" t="s">
        <v>260</v>
      </c>
      <c r="J82" s="149">
        <f>H38*ROUND(PI()*$D$16^2*0.25,-1)*J76*10^-3</f>
        <v>0</v>
      </c>
      <c r="K82" s="136" t="s">
        <v>46</v>
      </c>
      <c r="L82" s="13"/>
    </row>
    <row r="83" spans="2:12" ht="15.6">
      <c r="B83" s="143"/>
      <c r="C83" s="136"/>
      <c r="D83" s="149"/>
      <c r="E83" s="136"/>
      <c r="H83" s="70"/>
      <c r="I83" s="136"/>
      <c r="J83" s="136"/>
      <c r="K83" s="136"/>
      <c r="L83" s="13"/>
    </row>
    <row r="84" spans="2:12" ht="15.6">
      <c r="B84" s="144" t="s">
        <v>276</v>
      </c>
      <c r="C84" s="5" t="s">
        <v>277</v>
      </c>
      <c r="D84" s="149">
        <f>D53*D54*D23*D9*D55*10^-3</f>
        <v>1917.4228661011068</v>
      </c>
      <c r="E84" s="136" t="s">
        <v>46</v>
      </c>
      <c r="H84" s="5" t="s">
        <v>280</v>
      </c>
      <c r="I84" s="5" t="s">
        <v>281</v>
      </c>
      <c r="J84" s="72">
        <f>SUM(J78:J82)-D35/2</f>
        <v>1124.2053865</v>
      </c>
      <c r="K84" s="10" t="s">
        <v>46</v>
      </c>
      <c r="L84" s="13"/>
    </row>
    <row r="85" spans="2:12" ht="15.6">
      <c r="B85" s="143"/>
      <c r="C85" s="136"/>
      <c r="D85" s="136"/>
      <c r="E85" s="136"/>
      <c r="L85" s="13"/>
    </row>
    <row r="86" spans="2:12" ht="15.6">
      <c r="B86" s="8" t="s">
        <v>278</v>
      </c>
      <c r="C86" s="5" t="s">
        <v>279</v>
      </c>
      <c r="D86" s="72">
        <f>D84+SUM(D78:D82)+D35/2</f>
        <v>778.39698439258564</v>
      </c>
      <c r="E86" s="10" t="s">
        <v>46</v>
      </c>
      <c r="L86" s="13"/>
    </row>
    <row r="87" spans="2:12" ht="15" thickBot="1">
      <c r="B87" s="128"/>
      <c r="C87" s="46"/>
      <c r="D87" s="46"/>
      <c r="E87" s="46"/>
      <c r="F87" s="46"/>
      <c r="G87" s="46"/>
      <c r="H87" s="46"/>
      <c r="I87" s="46"/>
      <c r="J87" s="46"/>
      <c r="K87" s="46"/>
      <c r="L87" s="47"/>
    </row>
    <row r="88" spans="2:12" ht="15" thickBot="1"/>
    <row r="89" spans="2:12" ht="18.600000000000001" thickBot="1">
      <c r="B89" s="1" t="s">
        <v>92</v>
      </c>
      <c r="C89" s="2"/>
      <c r="L89" s="19"/>
    </row>
    <row r="90" spans="2:12" ht="15" thickBot="1"/>
    <row r="91" spans="2:12" ht="15.6">
      <c r="B91" s="37" t="s">
        <v>99</v>
      </c>
      <c r="C91" s="6"/>
      <c r="D91" s="6"/>
      <c r="E91" s="6"/>
      <c r="F91" s="7"/>
    </row>
    <row r="92" spans="2:12">
      <c r="B92" s="44" t="s">
        <v>100</v>
      </c>
      <c r="F92" s="13"/>
    </row>
    <row r="93" spans="2:12" ht="15" thickBot="1">
      <c r="B93" s="122" t="s">
        <v>109</v>
      </c>
      <c r="C93" s="46"/>
      <c r="D93" s="46"/>
      <c r="E93" s="46"/>
      <c r="F93" s="47"/>
    </row>
    <row r="94" spans="2:12" ht="15" thickBot="1"/>
    <row r="95" spans="2:12" ht="15.75" customHeight="1">
      <c r="B95" s="37" t="s">
        <v>172</v>
      </c>
      <c r="C95" s="21"/>
      <c r="D95" s="21"/>
      <c r="E95" s="21"/>
      <c r="F95" s="22"/>
      <c r="H95" s="37" t="s">
        <v>173</v>
      </c>
      <c r="I95" s="21"/>
      <c r="J95" s="21"/>
      <c r="K95" s="21"/>
      <c r="L95" s="22"/>
    </row>
    <row r="96" spans="2:12" ht="15.75" customHeight="1">
      <c r="B96" s="8" t="s">
        <v>125</v>
      </c>
      <c r="C96" s="5" t="s">
        <v>114</v>
      </c>
      <c r="D96" s="10">
        <f>DESIGN!D8*DESIGN!D9</f>
        <v>600000</v>
      </c>
      <c r="E96" s="10" t="s">
        <v>56</v>
      </c>
      <c r="F96" s="11" t="s">
        <v>93</v>
      </c>
      <c r="H96" s="8" t="s">
        <v>125</v>
      </c>
      <c r="I96" s="5" t="s">
        <v>114</v>
      </c>
      <c r="J96" s="10">
        <f>DESIGN!D8*DESIGN!D9</f>
        <v>600000</v>
      </c>
      <c r="K96" s="10" t="s">
        <v>56</v>
      </c>
      <c r="L96" s="11" t="s">
        <v>93</v>
      </c>
    </row>
    <row r="97" spans="2:12" ht="15.6">
      <c r="B97" s="8" t="s">
        <v>126</v>
      </c>
      <c r="C97" s="5" t="s">
        <v>115</v>
      </c>
      <c r="D97" s="10">
        <f>2*DESIGN!D8+2*DESIGN!D9</f>
        <v>3200</v>
      </c>
      <c r="E97" s="10" t="s">
        <v>2</v>
      </c>
      <c r="F97" s="11" t="s">
        <v>93</v>
      </c>
      <c r="H97" s="8" t="s">
        <v>126</v>
      </c>
      <c r="I97" s="5" t="s">
        <v>115</v>
      </c>
      <c r="J97" s="10">
        <f>2*DESIGN!D8+2*DESIGN!D9</f>
        <v>3200</v>
      </c>
      <c r="K97" s="10" t="s">
        <v>2</v>
      </c>
      <c r="L97" s="11" t="s">
        <v>93</v>
      </c>
    </row>
    <row r="98" spans="2:12" ht="15.6">
      <c r="B98" s="8" t="s">
        <v>94</v>
      </c>
      <c r="C98" s="5" t="s">
        <v>116</v>
      </c>
      <c r="D98" s="60">
        <f>0.33*SQRT(DESIGN!D23)*((D96^2)/(D97))*SQRT(1)*10^-6</f>
        <v>262.51339251550576</v>
      </c>
      <c r="E98" s="50" t="s">
        <v>40</v>
      </c>
      <c r="F98" s="11" t="s">
        <v>93</v>
      </c>
      <c r="H98" s="8" t="s">
        <v>94</v>
      </c>
      <c r="I98" s="5" t="s">
        <v>116</v>
      </c>
      <c r="J98" s="60">
        <f>0.33*SQRT(DESIGN!D23)*((J96^2)/(J97))*SQRT(1)*10^-6</f>
        <v>262.51339251550576</v>
      </c>
      <c r="K98" s="50" t="s">
        <v>40</v>
      </c>
      <c r="L98" s="11" t="s">
        <v>93</v>
      </c>
    </row>
    <row r="99" spans="2:12" ht="15.6">
      <c r="B99" s="8" t="s">
        <v>95</v>
      </c>
      <c r="C99" s="5"/>
      <c r="D99" s="57" t="str">
        <f>IF(0.25*DESIGN!D31*D98&gt;DESIGN!D37,"Pass","Fail")</f>
        <v>Pass</v>
      </c>
      <c r="E99" s="51"/>
      <c r="F99" s="11" t="s">
        <v>96</v>
      </c>
      <c r="H99" s="8" t="s">
        <v>95</v>
      </c>
      <c r="I99" s="5"/>
      <c r="J99" s="57" t="str">
        <f>IF(0.25*DESIGN!D31*J98&gt;DESIGN!D37,"Pass","Fail")</f>
        <v>Pass</v>
      </c>
      <c r="K99" s="51"/>
      <c r="L99" s="11" t="s">
        <v>96</v>
      </c>
    </row>
    <row r="100" spans="2:12" ht="15.6">
      <c r="B100" s="8" t="s">
        <v>101</v>
      </c>
      <c r="C100" s="5" t="s">
        <v>117</v>
      </c>
      <c r="D100" s="60">
        <f>ROUND(PI()*DESIGN!D21^2/4,-1)*2</f>
        <v>220</v>
      </c>
      <c r="E100" s="10" t="s">
        <v>56</v>
      </c>
      <c r="F100" s="11" t="s">
        <v>108</v>
      </c>
      <c r="H100" s="8" t="s">
        <v>101</v>
      </c>
      <c r="I100" s="5" t="s">
        <v>117</v>
      </c>
      <c r="J100" s="60">
        <f>ROUND(PI()*DESIGN!D21^2/4,-1)*2</f>
        <v>220</v>
      </c>
      <c r="K100" s="10" t="s">
        <v>56</v>
      </c>
      <c r="L100" s="11" t="s">
        <v>108</v>
      </c>
    </row>
    <row r="101" spans="2:12" ht="15.6">
      <c r="B101" s="8" t="s">
        <v>107</v>
      </c>
      <c r="C101" s="5" t="s">
        <v>118</v>
      </c>
      <c r="D101" s="49">
        <f>MAX(DESIGN!D8:D9)-DESIGN!D13-DESIGN!D14-DESIGN!D21</f>
        <v>828</v>
      </c>
      <c r="E101" s="10" t="s">
        <v>2</v>
      </c>
      <c r="F101" s="11" t="s">
        <v>108</v>
      </c>
      <c r="H101" s="8" t="s">
        <v>107</v>
      </c>
      <c r="I101" s="5" t="s">
        <v>118</v>
      </c>
      <c r="J101" s="49">
        <f>MAX(DESIGN!D8:D9)-DESIGN!D13-DESIGN!D14-DESIGN!D21</f>
        <v>828</v>
      </c>
      <c r="K101" s="10" t="s">
        <v>2</v>
      </c>
      <c r="L101" s="11" t="s">
        <v>108</v>
      </c>
    </row>
    <row r="102" spans="2:12" ht="15.6">
      <c r="B102" s="8" t="s">
        <v>79</v>
      </c>
      <c r="C102" s="15" t="s">
        <v>80</v>
      </c>
      <c r="D102" s="60">
        <f>IF(D149="Simplified Method",36,D159)</f>
        <v>29.054494179444443</v>
      </c>
      <c r="E102" s="10" t="s">
        <v>81</v>
      </c>
      <c r="F102" s="11" t="s">
        <v>122</v>
      </c>
      <c r="H102" s="8" t="s">
        <v>79</v>
      </c>
      <c r="I102" s="15" t="s">
        <v>80</v>
      </c>
      <c r="J102" s="60">
        <f>IF(J149="Simplified Method",36,J159)</f>
        <v>29.054494179444443</v>
      </c>
      <c r="K102" s="10" t="s">
        <v>81</v>
      </c>
      <c r="L102" s="11" t="s">
        <v>122</v>
      </c>
    </row>
    <row r="103" spans="2:12" ht="30">
      <c r="B103" s="63" t="s">
        <v>110</v>
      </c>
      <c r="C103" s="64" t="s">
        <v>111</v>
      </c>
      <c r="D103" s="64">
        <f>D101*(MIN(DESIGN!D8:D9)-DESIGN!D13-DESIGN!D14-DESIGN!D18)</f>
        <v>351072</v>
      </c>
      <c r="E103" s="65" t="s">
        <v>56</v>
      </c>
      <c r="F103" s="66" t="s">
        <v>119</v>
      </c>
      <c r="H103" s="63" t="s">
        <v>110</v>
      </c>
      <c r="I103" s="64" t="s">
        <v>111</v>
      </c>
      <c r="J103" s="64">
        <f>J101*(MIN(DESIGN!D8:D9)-DESIGN!D13-DESIGN!D14-DESIGN!D18)</f>
        <v>351072</v>
      </c>
      <c r="K103" s="65" t="s">
        <v>56</v>
      </c>
      <c r="L103" s="66" t="s">
        <v>119</v>
      </c>
    </row>
    <row r="104" spans="2:12" ht="15.6">
      <c r="B104" s="8" t="s">
        <v>112</v>
      </c>
      <c r="C104" s="5" t="s">
        <v>113</v>
      </c>
      <c r="D104" s="60">
        <f>2*D103*((D100*DESIGN!D26)/DESIGN!D19)*_xlfn.COT(RADIANS(D102))*10^-6</f>
        <v>695.12570129606991</v>
      </c>
      <c r="E104" s="10" t="s">
        <v>40</v>
      </c>
      <c r="F104" s="11" t="s">
        <v>119</v>
      </c>
      <c r="H104" s="8" t="s">
        <v>112</v>
      </c>
      <c r="I104" s="5" t="s">
        <v>113</v>
      </c>
      <c r="J104" s="60">
        <f>2*J103*((J100*DESIGN!D26)/DESIGN!D19)*_xlfn.COT(RADIANS(J102))*10^-6</f>
        <v>695.12570129606991</v>
      </c>
      <c r="K104" s="10" t="s">
        <v>40</v>
      </c>
      <c r="L104" s="11" t="s">
        <v>119</v>
      </c>
    </row>
    <row r="105" spans="2:12" ht="16.2" thickBot="1">
      <c r="B105" s="38" t="s">
        <v>121</v>
      </c>
      <c r="C105" s="39" t="s">
        <v>52</v>
      </c>
      <c r="D105" s="59" t="str">
        <f>IF(OR(D98&lt;=D104,(D100/DESIGN!D19)&gt;=(0.2*D101/DESIGN!D26)),"Pass","Fail")</f>
        <v>Pass</v>
      </c>
      <c r="E105" s="46"/>
      <c r="F105" s="43" t="s">
        <v>108</v>
      </c>
      <c r="H105" s="38" t="s">
        <v>121</v>
      </c>
      <c r="I105" s="39" t="s">
        <v>52</v>
      </c>
      <c r="J105" s="59" t="str">
        <f>IF(OR(J98&lt;=J104,(J100/DESIGN!D19)&gt;=(0.2*J101/DESIGN!D26)),"Pass","Fail")</f>
        <v>Pass</v>
      </c>
      <c r="K105" s="46"/>
      <c r="L105" s="43" t="s">
        <v>108</v>
      </c>
    </row>
    <row r="106" spans="2:12" ht="15" thickBot="1"/>
    <row r="107" spans="2:12" ht="18.600000000000001" thickBot="1">
      <c r="B107" s="1" t="s">
        <v>98</v>
      </c>
      <c r="C107" s="2"/>
      <c r="H107" s="1" t="s">
        <v>234</v>
      </c>
      <c r="L107" s="19"/>
    </row>
    <row r="108" spans="2:12" ht="15" thickBot="1"/>
    <row r="109" spans="2:12" ht="15.6">
      <c r="B109" s="37" t="s">
        <v>99</v>
      </c>
      <c r="C109" s="6"/>
      <c r="D109" s="6"/>
      <c r="E109" s="6"/>
      <c r="F109" s="7"/>
      <c r="H109" s="125" t="s">
        <v>222</v>
      </c>
      <c r="I109" s="6"/>
      <c r="J109" s="6"/>
      <c r="K109" s="6"/>
      <c r="L109" s="7"/>
    </row>
    <row r="110" spans="2:12">
      <c r="B110" s="44" t="s">
        <v>100</v>
      </c>
      <c r="F110" s="13"/>
      <c r="H110" s="126" t="s">
        <v>223</v>
      </c>
      <c r="L110" s="13"/>
    </row>
    <row r="111" spans="2:12">
      <c r="B111" s="44" t="s">
        <v>109</v>
      </c>
      <c r="F111" s="13"/>
      <c r="H111" s="155" t="s">
        <v>323</v>
      </c>
      <c r="L111" s="13"/>
    </row>
    <row r="112" spans="2:12">
      <c r="B112" s="44" t="s">
        <v>120</v>
      </c>
      <c r="F112" s="13"/>
      <c r="H112" s="127"/>
      <c r="L112" s="13"/>
    </row>
    <row r="113" spans="2:12">
      <c r="B113" s="44" t="s">
        <v>233</v>
      </c>
      <c r="F113" s="13"/>
      <c r="H113" s="127"/>
      <c r="L113" s="13"/>
    </row>
    <row r="114" spans="2:12" ht="15" thickBot="1">
      <c r="B114" s="154" t="s">
        <v>144</v>
      </c>
      <c r="C114" s="46"/>
      <c r="D114" s="46"/>
      <c r="E114" s="46"/>
      <c r="F114" s="47"/>
      <c r="H114" s="128"/>
      <c r="I114" s="46"/>
      <c r="J114" s="46"/>
      <c r="K114" s="46"/>
      <c r="L114" s="47"/>
    </row>
    <row r="117" spans="2:12" ht="15" thickBot="1"/>
    <row r="118" spans="2:12" ht="15.6">
      <c r="B118" s="37" t="s">
        <v>172</v>
      </c>
      <c r="C118" s="21"/>
      <c r="D118" s="21"/>
      <c r="E118" s="21"/>
      <c r="F118" s="22"/>
      <c r="H118" s="37" t="s">
        <v>173</v>
      </c>
      <c r="I118" s="21"/>
      <c r="J118" s="21"/>
      <c r="K118" s="21"/>
      <c r="L118" s="22"/>
    </row>
    <row r="119" spans="2:12" ht="15.6">
      <c r="B119" s="8" t="s">
        <v>106</v>
      </c>
      <c r="C119" s="5" t="s">
        <v>105</v>
      </c>
      <c r="D119" s="49">
        <f>0.85*J103</f>
        <v>298411.2</v>
      </c>
      <c r="E119" t="s">
        <v>56</v>
      </c>
      <c r="F119" s="11" t="s">
        <v>137</v>
      </c>
      <c r="H119" s="8" t="s">
        <v>106</v>
      </c>
      <c r="I119" s="5" t="s">
        <v>105</v>
      </c>
      <c r="J119" s="49">
        <f>0.85*D103</f>
        <v>298411.2</v>
      </c>
      <c r="K119" t="s">
        <v>56</v>
      </c>
      <c r="L119" s="11" t="s">
        <v>137</v>
      </c>
    </row>
    <row r="120" spans="2:12" ht="15.6">
      <c r="B120" s="8" t="s">
        <v>44</v>
      </c>
      <c r="C120" s="5" t="s">
        <v>104</v>
      </c>
      <c r="D120" s="49">
        <f>SQRT((DESIGN!D36^2)+((0.9*DESIGN!D37*(D127/1000))/(2*D119*10^-6))^2)</f>
        <v>85.421625118221883</v>
      </c>
      <c r="E120" t="s">
        <v>46</v>
      </c>
      <c r="F120" s="11"/>
      <c r="H120" s="8" t="s">
        <v>44</v>
      </c>
      <c r="I120" s="5" t="s">
        <v>320</v>
      </c>
      <c r="J120" s="49">
        <f>SQRT((DESIGN!D36^2)+((0.9*DESIGN!D37*(J127/1000))/(2*J119*10^-6))^2)</f>
        <v>85.421625118221883</v>
      </c>
      <c r="K120" t="s">
        <v>46</v>
      </c>
      <c r="L120" s="11"/>
    </row>
    <row r="121" spans="2:12" ht="15.6">
      <c r="B121" s="8" t="s">
        <v>128</v>
      </c>
      <c r="C121" s="5" t="s">
        <v>127</v>
      </c>
      <c r="D121" s="10">
        <f>DESIGN!D9</f>
        <v>1000</v>
      </c>
      <c r="E121" s="50" t="s">
        <v>129</v>
      </c>
      <c r="F121" s="11" t="s">
        <v>130</v>
      </c>
      <c r="H121" s="8" t="s">
        <v>128</v>
      </c>
      <c r="I121" s="5" t="s">
        <v>127</v>
      </c>
      <c r="J121" s="10">
        <f>DESIGN!D9</f>
        <v>1000</v>
      </c>
      <c r="K121" s="50" t="s">
        <v>129</v>
      </c>
      <c r="L121" s="11" t="s">
        <v>130</v>
      </c>
    </row>
    <row r="122" spans="2:12" ht="15.6">
      <c r="B122" s="8" t="s">
        <v>132</v>
      </c>
      <c r="C122" s="5" t="s">
        <v>133</v>
      </c>
      <c r="D122" s="10">
        <f>MAX(0.72*DESIGN!D8,0.9*DESIGN!D11)</f>
        <v>442.8</v>
      </c>
      <c r="E122" s="10" t="s">
        <v>2</v>
      </c>
      <c r="F122" s="11" t="s">
        <v>21</v>
      </c>
      <c r="H122" s="8" t="s">
        <v>132</v>
      </c>
      <c r="I122" s="5" t="s">
        <v>133</v>
      </c>
      <c r="J122" s="10">
        <f>MAX(0.72*DESIGN!D8,0.9*DESIGN!D11)</f>
        <v>442.8</v>
      </c>
      <c r="K122" s="10" t="s">
        <v>2</v>
      </c>
      <c r="L122" s="11" t="s">
        <v>319</v>
      </c>
    </row>
    <row r="123" spans="2:12" ht="15.6">
      <c r="B123" s="8" t="s">
        <v>83</v>
      </c>
      <c r="C123" s="5" t="s">
        <v>84</v>
      </c>
      <c r="D123" s="49">
        <f>0.08*SQRT(DESIGN!D23)*D121/DESIGN!D26*DESIGN!D19</f>
        <v>226.27416997969522</v>
      </c>
      <c r="E123" s="10" t="s">
        <v>56</v>
      </c>
      <c r="F123" s="11" t="s">
        <v>131</v>
      </c>
      <c r="H123" s="8" t="s">
        <v>83</v>
      </c>
      <c r="I123" s="5" t="s">
        <v>84</v>
      </c>
      <c r="J123" s="49">
        <f>0.08*SQRT(DESIGN!D23)*J121/DESIGN!D26*DESIGN!D19</f>
        <v>226.27416997969522</v>
      </c>
      <c r="K123" s="10" t="s">
        <v>56</v>
      </c>
      <c r="L123" s="11" t="s">
        <v>131</v>
      </c>
    </row>
    <row r="124" spans="2:12" ht="15.6">
      <c r="B124" s="8" t="s">
        <v>141</v>
      </c>
      <c r="C124" s="5" t="s">
        <v>82</v>
      </c>
      <c r="D124" s="10">
        <f>(ROUND(PI()*DESIGN!D18^2/4,-1))*DESIGN!D20</f>
        <v>400</v>
      </c>
      <c r="E124" t="s">
        <v>56</v>
      </c>
      <c r="F124" s="13"/>
      <c r="H124" s="8" t="s">
        <v>141</v>
      </c>
      <c r="I124" s="5" t="s">
        <v>82</v>
      </c>
      <c r="J124" s="10">
        <f>(ROUND(PI()*DESIGN!D18^2/4,-1))*DESIGN!D20</f>
        <v>400</v>
      </c>
      <c r="K124" s="10" t="s">
        <v>56</v>
      </c>
      <c r="L124" s="13"/>
    </row>
    <row r="125" spans="2:12" ht="15.6">
      <c r="B125" s="8" t="s">
        <v>85</v>
      </c>
      <c r="C125" s="5" t="s">
        <v>52</v>
      </c>
      <c r="D125" s="57" t="str">
        <f>IF(D124&gt;D123,"Pass","Fail")</f>
        <v>Pass</v>
      </c>
      <c r="F125" s="14"/>
      <c r="H125" s="8" t="s">
        <v>85</v>
      </c>
      <c r="I125" s="5" t="s">
        <v>52</v>
      </c>
      <c r="J125" s="57" t="str">
        <f>IF(J124&gt;J123,"Pass","Fail")</f>
        <v>Pass</v>
      </c>
      <c r="L125" s="14"/>
    </row>
    <row r="126" spans="2:12" ht="15.6">
      <c r="B126" s="8" t="s">
        <v>75</v>
      </c>
      <c r="C126" s="5" t="s">
        <v>76</v>
      </c>
      <c r="D126" s="61">
        <f>0.55*(0.9*DESIGN!D23*D121*D122*(((_xlfn.COT(RADIANS(J102)))+0)/(1+(_xlfn.COT(RADIANS(J102)))^2)))*10^-3*IF(D125="Pass",0.75,0.7)</f>
        <v>3489.3914334754859</v>
      </c>
      <c r="E126" s="50" t="s">
        <v>46</v>
      </c>
      <c r="F126" s="11" t="s">
        <v>135</v>
      </c>
      <c r="H126" s="8" t="s">
        <v>75</v>
      </c>
      <c r="I126" s="5" t="s">
        <v>76</v>
      </c>
      <c r="J126" s="61">
        <f>0.55*(0.9*DESIGN!D23*J121*J122*(((_xlfn.COT(RADIANS(D102)))+0)/(1+(_xlfn.COT(RADIANS(D102)))^2)))*10^-3*IF(J125="Pass",0.75,0.7)</f>
        <v>3489.3914334754859</v>
      </c>
      <c r="K126" s="50" t="s">
        <v>46</v>
      </c>
      <c r="L126" s="11" t="s">
        <v>135</v>
      </c>
    </row>
    <row r="127" spans="2:12" ht="15.6">
      <c r="B127" s="52" t="s">
        <v>316</v>
      </c>
      <c r="C127" s="48"/>
      <c r="D127" s="62">
        <f>J101*2+(MIN(DESIGN!D8:D9)-DESIGN!D14-DESIGN!D14-DESIGN!D21)*2</f>
        <v>2512</v>
      </c>
      <c r="E127" t="s">
        <v>2</v>
      </c>
      <c r="F127" s="55" t="s">
        <v>179</v>
      </c>
      <c r="H127" s="52" t="s">
        <v>322</v>
      </c>
      <c r="I127" s="33"/>
      <c r="J127" s="62">
        <f>D101*2+(MIN(DESIGN!D8:D9)-DESIGN!D13-DESIGN!D14-DESIGN!D21)*2</f>
        <v>2512</v>
      </c>
      <c r="K127" s="50" t="s">
        <v>2</v>
      </c>
      <c r="L127" s="55" t="s">
        <v>179</v>
      </c>
    </row>
    <row r="128" spans="2:12" ht="15.6">
      <c r="B128" s="53"/>
      <c r="C128" s="54" t="s">
        <v>136</v>
      </c>
      <c r="D128" s="58" t="str">
        <f>IF(D126*1000/(D121*D122)&gt;=SQRT(((DESIGN!D36*1000/(D121*D122))^2)+((DESIGN!D37*1000000*D127)/(1.7*J103^2))^2),"Pass","Fail")</f>
        <v>Pass</v>
      </c>
      <c r="E128" s="10"/>
      <c r="F128" s="55" t="s">
        <v>179</v>
      </c>
      <c r="H128" s="53"/>
      <c r="I128" s="54" t="s">
        <v>136</v>
      </c>
      <c r="J128" s="58" t="str">
        <f>IF(J126*1000/(J121*J122)&gt;=SQRT(((DESIGN!D36*1000/(J121*J122))^2)+((DESIGN!D37*1000000*J127)/(1.7*D103^2))^2),"Pass","Fail")</f>
        <v>Pass</v>
      </c>
      <c r="K128" s="10"/>
      <c r="L128" s="55" t="s">
        <v>179</v>
      </c>
    </row>
    <row r="129" spans="2:12" ht="15.6">
      <c r="B129" s="8" t="s">
        <v>138</v>
      </c>
      <c r="C129" s="5" t="s">
        <v>139</v>
      </c>
      <c r="D129" s="56">
        <f>IF(D149="Simplified Method",0.15,D158)</f>
        <v>0.39538298471746997</v>
      </c>
      <c r="E129" s="10"/>
      <c r="F129" s="11" t="s">
        <v>140</v>
      </c>
      <c r="H129" s="8" t="s">
        <v>138</v>
      </c>
      <c r="I129" s="5" t="s">
        <v>139</v>
      </c>
      <c r="J129" s="56">
        <f>IF(J149="Simplified Method",0.15,J158)</f>
        <v>0.39538298471746997</v>
      </c>
      <c r="K129" s="10"/>
      <c r="L129" s="11" t="s">
        <v>140</v>
      </c>
    </row>
    <row r="130" spans="2:12" ht="15.6">
      <c r="B130" s="8" t="s">
        <v>77</v>
      </c>
      <c r="C130" s="5" t="s">
        <v>78</v>
      </c>
      <c r="D130" s="61">
        <f>D129*D121*D122*SQRT(DESIGN!D23)*10^-3*IF(J125="Pass",0.75,0.7)</f>
        <v>928.47850365919999</v>
      </c>
      <c r="E130" s="10" t="s">
        <v>46</v>
      </c>
      <c r="F130" s="11" t="s">
        <v>142</v>
      </c>
      <c r="H130" s="8" t="s">
        <v>77</v>
      </c>
      <c r="I130" s="5" t="s">
        <v>78</v>
      </c>
      <c r="J130" s="61">
        <f>J129*J121*J122*SQRT(DESIGN!D23)*10^-3*IF(J125="Pass",0.75,0.7)</f>
        <v>928.47850365919999</v>
      </c>
      <c r="K130" s="10" t="s">
        <v>46</v>
      </c>
      <c r="L130" s="11" t="s">
        <v>142</v>
      </c>
    </row>
    <row r="131" spans="2:12" ht="15.6">
      <c r="B131" s="8" t="s">
        <v>86</v>
      </c>
      <c r="C131" s="5" t="s">
        <v>87</v>
      </c>
      <c r="D131" s="61">
        <f>((D124*DESIGN!D26*D122/DESIGN!D19)*_xlfn.COT(RADIANS(J102)))*10^-3*IF(J125="Pass",0.75,0.7)</f>
        <v>597.78270139982897</v>
      </c>
      <c r="E131" s="10" t="s">
        <v>46</v>
      </c>
      <c r="F131" s="11" t="s">
        <v>88</v>
      </c>
      <c r="H131" s="8" t="s">
        <v>86</v>
      </c>
      <c r="I131" s="5" t="s">
        <v>87</v>
      </c>
      <c r="J131" s="61">
        <f>((J124*DESIGN!D26*J122/DESIGN!D19)*_xlfn.COT(RADIANS(D102)))*10^-3*IF(J125="Pass",0.75,0.7)</f>
        <v>597.78270139982897</v>
      </c>
      <c r="K131" s="10" t="s">
        <v>46</v>
      </c>
      <c r="L131" s="11" t="s">
        <v>88</v>
      </c>
    </row>
    <row r="132" spans="2:12" ht="15.6">
      <c r="B132" s="8" t="s">
        <v>89</v>
      </c>
      <c r="C132" s="15" t="s">
        <v>90</v>
      </c>
      <c r="D132" s="72">
        <f>(D130+D131)</f>
        <v>1526.261205059029</v>
      </c>
      <c r="E132" s="10" t="s">
        <v>46</v>
      </c>
      <c r="F132" s="11" t="s">
        <v>91</v>
      </c>
      <c r="H132" s="8" t="s">
        <v>89</v>
      </c>
      <c r="I132" s="15" t="s">
        <v>90</v>
      </c>
      <c r="J132" s="72">
        <f>(J130+J131)</f>
        <v>1526.261205059029</v>
      </c>
      <c r="K132" s="10" t="s">
        <v>46</v>
      </c>
      <c r="L132" s="11" t="s">
        <v>91</v>
      </c>
    </row>
    <row r="133" spans="2:12" ht="15.6">
      <c r="B133" s="8" t="s">
        <v>143</v>
      </c>
      <c r="C133" s="5" t="s">
        <v>52</v>
      </c>
      <c r="D133" s="57" t="str">
        <f>IF(D132&gt;D120,"Pass","Fail")</f>
        <v>Pass</v>
      </c>
      <c r="E133" s="10"/>
      <c r="F133" s="14"/>
      <c r="H133" s="8" t="s">
        <v>143</v>
      </c>
      <c r="I133" s="5" t="s">
        <v>52</v>
      </c>
      <c r="J133" s="57" t="str">
        <f>IF(J132&gt;J120,"Pass","Fail")</f>
        <v>Pass</v>
      </c>
      <c r="K133" s="10"/>
      <c r="L133" s="14"/>
    </row>
    <row r="134" spans="2:12" ht="15.6">
      <c r="B134" s="8" t="s">
        <v>203</v>
      </c>
      <c r="C134" s="5" t="s">
        <v>204</v>
      </c>
      <c r="D134" s="61">
        <f>0.5*(D36+D130)*_xlfn.COT(RADIANS(J102))+0.5*D37*(D127/(2*D119))*10^-3*_xlfn.COT(RADIANS(D102))</f>
        <v>839.14498434978725</v>
      </c>
      <c r="E134" s="10" t="s">
        <v>46</v>
      </c>
      <c r="F134" s="11" t="s">
        <v>205</v>
      </c>
      <c r="H134" s="8" t="s">
        <v>203</v>
      </c>
      <c r="I134" s="5" t="s">
        <v>204</v>
      </c>
      <c r="J134" s="61">
        <f>0.5*(D36+J130)*_xlfn.COT(RADIANS(D102))+0.5*D37*(J127/(2*J119))*10^-3*_xlfn.COT(RADIANS(D102))</f>
        <v>839.14498434978725</v>
      </c>
      <c r="K134" s="10" t="s">
        <v>46</v>
      </c>
      <c r="L134" s="11" t="s">
        <v>205</v>
      </c>
    </row>
    <row r="135" spans="2:12" ht="15.6">
      <c r="B135" s="8" t="s">
        <v>206</v>
      </c>
      <c r="C135" s="5" t="s">
        <v>207</v>
      </c>
      <c r="D135" s="61">
        <f>(J55*DESIGN!D54*DESIGN!J53)+(DESIGN!J53-J55*DESIGN!J53)</f>
        <v>482.92344205395926</v>
      </c>
      <c r="E135" s="10" t="s">
        <v>2</v>
      </c>
      <c r="F135" s="11" t="s">
        <v>208</v>
      </c>
      <c r="H135" s="8" t="s">
        <v>206</v>
      </c>
      <c r="I135" s="5" t="s">
        <v>207</v>
      </c>
      <c r="J135" s="61">
        <f>(DESIGN!J55*DESIGN!D54*DESIGN!D50)+(DESIGN!D50-DESIGN!J55*DESIGN!D50)</f>
        <v>482.92344205395926</v>
      </c>
      <c r="K135" s="10" t="s">
        <v>2</v>
      </c>
      <c r="L135" s="11" t="s">
        <v>208</v>
      </c>
    </row>
    <row r="136" spans="2:12" ht="15.6">
      <c r="B136" s="8" t="s">
        <v>209</v>
      </c>
      <c r="C136" s="5" t="s">
        <v>210</v>
      </c>
      <c r="D136" s="61">
        <f>(D34/(D135/1000))+(-DESIGN!D35/2)+D134</f>
        <v>838.35037084978728</v>
      </c>
      <c r="E136" s="10" t="s">
        <v>46</v>
      </c>
      <c r="F136" s="11" t="s">
        <v>211</v>
      </c>
      <c r="H136" s="8" t="s">
        <v>209</v>
      </c>
      <c r="I136" s="5" t="s">
        <v>210</v>
      </c>
      <c r="J136" s="61">
        <f>(D33/(J135/1000))+(-DESIGN!D35/2)+J134</f>
        <v>1890.070904108245</v>
      </c>
      <c r="K136" s="10" t="s">
        <v>46</v>
      </c>
      <c r="L136" s="11" t="s">
        <v>211</v>
      </c>
    </row>
    <row r="137" spans="2:12" ht="15.6">
      <c r="B137" s="8" t="s">
        <v>212</v>
      </c>
      <c r="C137" s="5" t="s">
        <v>213</v>
      </c>
      <c r="D137" s="56">
        <f>DESIGN!D30+((0.85-DESIGN!D30)*(D136/(DESIGN!D52*DESIGN!D25*10^-3)))</f>
        <v>0.83726001648221271</v>
      </c>
      <c r="E137" s="10"/>
      <c r="F137" s="11" t="s">
        <v>214</v>
      </c>
      <c r="H137" s="8" t="s">
        <v>212</v>
      </c>
      <c r="I137" s="5" t="s">
        <v>213</v>
      </c>
      <c r="J137" s="56">
        <f>DESIGN!D30+((0.85-DESIGN!D30)*(J136/(DESIGN!D51*DESIGN!D25*10^-3)))</f>
        <v>0.88400315129369966</v>
      </c>
      <c r="K137" s="10"/>
      <c r="L137" s="11" t="s">
        <v>214</v>
      </c>
    </row>
    <row r="138" spans="2:12" ht="15.6">
      <c r="B138" s="8" t="s">
        <v>215</v>
      </c>
      <c r="C138" s="5" t="s">
        <v>55</v>
      </c>
      <c r="D138" s="61">
        <f>((D136*1000)/D137)/DESIGN!D24</f>
        <v>2002.6045776607266</v>
      </c>
      <c r="E138" s="10" t="s">
        <v>56</v>
      </c>
      <c r="F138" s="11" t="s">
        <v>211</v>
      </c>
      <c r="H138" s="8" t="s">
        <v>215</v>
      </c>
      <c r="I138" s="5" t="s">
        <v>55</v>
      </c>
      <c r="J138" s="61">
        <f>((J136*1000)/J137)/DESIGN!D24</f>
        <v>4276.1632723643788</v>
      </c>
      <c r="K138" s="10" t="s">
        <v>56</v>
      </c>
      <c r="L138" s="11" t="s">
        <v>211</v>
      </c>
    </row>
    <row r="139" spans="2:12" ht="15.6">
      <c r="B139" s="8" t="s">
        <v>216</v>
      </c>
      <c r="C139" s="5"/>
      <c r="D139" s="58" t="str">
        <f>IF(D138&lt;D152,"Pass","Fail")</f>
        <v>Pass</v>
      </c>
      <c r="E139" s="114"/>
      <c r="F139" s="13"/>
      <c r="H139" s="8" t="s">
        <v>216</v>
      </c>
      <c r="I139" s="5"/>
      <c r="J139" s="58" t="str">
        <f>IF(J138&lt;J152,"Pass","Fail")</f>
        <v>Fail</v>
      </c>
      <c r="K139" s="114"/>
      <c r="L139" s="13"/>
    </row>
    <row r="140" spans="2:12" ht="15.6">
      <c r="B140" s="178" t="s">
        <v>228</v>
      </c>
      <c r="C140" s="179"/>
      <c r="D140" s="179"/>
      <c r="E140" s="179"/>
      <c r="F140" s="180"/>
      <c r="H140" s="178" t="s">
        <v>228</v>
      </c>
      <c r="I140" s="179"/>
      <c r="J140" s="179"/>
      <c r="K140" s="179"/>
      <c r="L140" s="180"/>
    </row>
    <row r="141" spans="2:12" ht="15.6">
      <c r="B141" s="8" t="s">
        <v>217</v>
      </c>
      <c r="C141" s="5" t="s">
        <v>218</v>
      </c>
      <c r="D141" s="61">
        <f>(-D154/(D135/1000))+(DESIGN!D35/2)+D134</f>
        <v>836.36316518821639</v>
      </c>
      <c r="E141" s="10" t="s">
        <v>46</v>
      </c>
      <c r="F141" s="11" t="s">
        <v>219</v>
      </c>
      <c r="H141" s="8" t="s">
        <v>217</v>
      </c>
      <c r="I141" s="5" t="s">
        <v>218</v>
      </c>
      <c r="J141" s="61">
        <f>(-J154/(J135/1000))+(DESIGN!D35/2)+J134</f>
        <v>836.36316518821639</v>
      </c>
      <c r="K141" s="10" t="s">
        <v>46</v>
      </c>
      <c r="L141" s="11" t="s">
        <v>219</v>
      </c>
    </row>
    <row r="142" spans="2:12" ht="15.6">
      <c r="B142" s="8" t="s">
        <v>212</v>
      </c>
      <c r="C142" s="5" t="s">
        <v>213</v>
      </c>
      <c r="D142" s="56">
        <f>DESIGN!D30</f>
        <v>0.8</v>
      </c>
      <c r="F142" s="11" t="s">
        <v>214</v>
      </c>
      <c r="H142" s="8" t="s">
        <v>212</v>
      </c>
      <c r="I142" s="5" t="s">
        <v>213</v>
      </c>
      <c r="J142" s="56">
        <f>DESIGN!D30</f>
        <v>0.8</v>
      </c>
      <c r="L142" s="11" t="s">
        <v>214</v>
      </c>
    </row>
    <row r="143" spans="2:12" ht="15.6">
      <c r="B143" s="8" t="s">
        <v>220</v>
      </c>
      <c r="C143" s="5" t="s">
        <v>221</v>
      </c>
      <c r="D143" s="61">
        <f>(D141*1000)/D142/DESIGN!D24</f>
        <v>2090.907912970541</v>
      </c>
      <c r="E143" s="10" t="s">
        <v>56</v>
      </c>
      <c r="F143" s="11" t="s">
        <v>219</v>
      </c>
      <c r="H143" s="8" t="s">
        <v>220</v>
      </c>
      <c r="I143" s="5" t="s">
        <v>221</v>
      </c>
      <c r="J143" s="61">
        <f>(J141*1000)/J142/DESIGN!D24</f>
        <v>2090.907912970541</v>
      </c>
      <c r="K143" s="10" t="s">
        <v>56</v>
      </c>
      <c r="L143" s="11" t="s">
        <v>219</v>
      </c>
    </row>
    <row r="144" spans="2:12" ht="16.2" thickBot="1">
      <c r="B144" s="38" t="s">
        <v>216</v>
      </c>
      <c r="C144" s="39"/>
      <c r="D144" s="115" t="str">
        <f>IF(J143&lt;(SUM(DESIGN!H34:H38)*(ROUND(PI()*DESIGN!D16^2*0.25,-1))),"Pass","Fail")</f>
        <v>Pass</v>
      </c>
      <c r="E144" s="116"/>
      <c r="F144" s="47"/>
      <c r="H144" s="38" t="s">
        <v>216</v>
      </c>
      <c r="I144" s="39"/>
      <c r="J144" s="115" t="str">
        <f>IF(J143&lt;(SUM(DESIGN!H27:H31)*(ROUND(PI()*DESIGN!D15^2*0.25,-1))),"Pass","Fail")</f>
        <v>Pass</v>
      </c>
      <c r="K144" s="116"/>
      <c r="L144" s="47"/>
    </row>
    <row r="145" spans="2:12" ht="15" thickBot="1"/>
    <row r="146" spans="2:12" ht="18.600000000000001" thickBot="1">
      <c r="B146" s="1" t="s">
        <v>180</v>
      </c>
      <c r="F146" s="19"/>
      <c r="L146" s="19"/>
    </row>
    <row r="147" spans="2:12" ht="15" thickBot="1"/>
    <row r="148" spans="2:12">
      <c r="B148" s="106"/>
      <c r="C148" s="6"/>
      <c r="D148" s="6"/>
      <c r="E148" s="6"/>
      <c r="F148" s="7"/>
      <c r="H148" s="106"/>
      <c r="I148" s="6"/>
      <c r="J148" s="6"/>
      <c r="K148" s="6"/>
      <c r="L148" s="7"/>
    </row>
    <row r="149" spans="2:12" ht="15.6">
      <c r="B149" s="8" t="s">
        <v>181</v>
      </c>
      <c r="D149" s="181" t="s">
        <v>321</v>
      </c>
      <c r="E149" s="181"/>
      <c r="F149" s="107" t="str">
        <f>IF(D149="Simplified Method","[cl.8.2.4.3]","[cl.8.2.4.2]")</f>
        <v>[cl.8.2.4.2]</v>
      </c>
      <c r="H149" s="8" t="s">
        <v>181</v>
      </c>
      <c r="J149" s="181" t="s">
        <v>321</v>
      </c>
      <c r="K149" s="181"/>
      <c r="L149" s="107" t="str">
        <f>IF(J149="Simplified Method","[cl.8.2.4.3]","[cl.8.2.4.2]")</f>
        <v>[cl.8.2.4.2]</v>
      </c>
    </row>
    <row r="150" spans="2:12" ht="15.6">
      <c r="B150" s="8" t="s">
        <v>182</v>
      </c>
      <c r="C150" s="108" t="s">
        <v>183</v>
      </c>
      <c r="D150" s="70">
        <f>IF(DESIGN!D23&lt;=65,IF(DESIGN!D28&gt;=16,1,MAX(32/(16+DESIGN!D28),0.8)),2)</f>
        <v>1</v>
      </c>
      <c r="E150" s="70"/>
      <c r="F150" s="11" t="s">
        <v>184</v>
      </c>
      <c r="H150" s="8" t="s">
        <v>182</v>
      </c>
      <c r="I150" s="108" t="s">
        <v>183</v>
      </c>
      <c r="J150" s="70">
        <f>IF(DESIGN!D23&lt;=65,IF(DESIGN!D28&gt;=16,1,MAX(32/(16+DESIGN!D28),0.8)),2)</f>
        <v>1</v>
      </c>
      <c r="K150" s="70"/>
      <c r="L150" s="11" t="s">
        <v>184</v>
      </c>
    </row>
    <row r="151" spans="2:12" ht="15.6">
      <c r="B151" s="8" t="s">
        <v>185</v>
      </c>
      <c r="C151" s="108"/>
      <c r="D151" s="57" t="str">
        <f>IF(J99="Fail","Yes","No")</f>
        <v>No</v>
      </c>
      <c r="E151" s="70"/>
      <c r="F151" s="13"/>
      <c r="H151" s="8" t="s">
        <v>185</v>
      </c>
      <c r="I151" s="108"/>
      <c r="J151" s="57" t="str">
        <f>IF(D99="Fail","Yes","No")</f>
        <v>No</v>
      </c>
      <c r="K151" s="70"/>
      <c r="L151" s="13"/>
    </row>
    <row r="152" spans="2:12" ht="15.6">
      <c r="B152" s="8" t="s">
        <v>186</v>
      </c>
      <c r="C152" s="108" t="s">
        <v>55</v>
      </c>
      <c r="D152" s="71">
        <f>DESIGN!D52</f>
        <v>2250</v>
      </c>
      <c r="E152" s="70" t="s">
        <v>56</v>
      </c>
      <c r="F152" s="11" t="s">
        <v>187</v>
      </c>
      <c r="H152" s="8" t="s">
        <v>186</v>
      </c>
      <c r="I152" s="108" t="s">
        <v>55</v>
      </c>
      <c r="J152" s="71">
        <f>DESIGN!D51</f>
        <v>2250</v>
      </c>
      <c r="K152" s="70" t="s">
        <v>56</v>
      </c>
      <c r="L152" s="11" t="s">
        <v>187</v>
      </c>
    </row>
    <row r="153" spans="2:12" ht="15.6">
      <c r="B153" s="8" t="s">
        <v>188</v>
      </c>
      <c r="C153" s="108" t="s">
        <v>189</v>
      </c>
      <c r="D153" s="70">
        <f>J96/2-DESIGN!D52</f>
        <v>297750</v>
      </c>
      <c r="E153" s="70" t="s">
        <v>56</v>
      </c>
      <c r="F153" s="11" t="s">
        <v>187</v>
      </c>
      <c r="H153" s="8" t="s">
        <v>188</v>
      </c>
      <c r="I153" s="108" t="s">
        <v>189</v>
      </c>
      <c r="J153" s="70">
        <f>D96/2-DESIGN!D51</f>
        <v>297750</v>
      </c>
      <c r="K153" s="70" t="s">
        <v>56</v>
      </c>
      <c r="L153" s="11" t="s">
        <v>187</v>
      </c>
    </row>
    <row r="154" spans="2:12" ht="15.6">
      <c r="B154" s="8" t="s">
        <v>190</v>
      </c>
      <c r="C154" s="108" t="s">
        <v>191</v>
      </c>
      <c r="D154" s="118">
        <f>IF(D151="Yes",IF(DESIGN!J34&gt;=(D122/1000)*SQRT((DESIGN!D36^2)+((0.9*DESIGN!D37*D127/1000)/(2*D119/1000000))^2),DESIGN!D34,(D122/1000)*SQRT((DESIGN!D36^2)+((0.9*DESIGN!D37*D127/1000)/(2*D119/1000000))^2)),IF(DESIGN!D34&gt;=(DESIGN!D36*D122/1000),DESIGN!D34,(DESIGN!D36*D122/1000)))</f>
        <v>1.7271431712</v>
      </c>
      <c r="E154" s="70" t="s">
        <v>192</v>
      </c>
      <c r="F154" s="11" t="s">
        <v>187</v>
      </c>
      <c r="H154" s="8" t="s">
        <v>190</v>
      </c>
      <c r="I154" s="108" t="s">
        <v>191</v>
      </c>
      <c r="J154" s="118">
        <f>IF(J151="Yes",IF(DESIGN!D34&gt;=(J122/1000)*SQRT((DESIGN!D36^2)+((0.9*DESIGN!D37*J127/1000)/(2*J119/1000000))^2),DESIGN!D34,(J122/1000)*SQRT((DESIGN!D36^2)+((0.9*DESIGN!D37*J127/1000)/(2*J119/1000000))^2)),IF(DESIGN!D34&gt;=(DESIGN!D36*J122/1000),DESIGN!D34,(DESIGN!D36*J122/1000)))</f>
        <v>1.7271431712</v>
      </c>
      <c r="K154" s="70" t="s">
        <v>192</v>
      </c>
      <c r="L154" s="11" t="s">
        <v>187</v>
      </c>
    </row>
    <row r="155" spans="2:12" ht="15.6">
      <c r="B155" s="8" t="s">
        <v>193</v>
      </c>
      <c r="C155" s="108" t="s">
        <v>194</v>
      </c>
      <c r="D155" s="70">
        <f>IF(D151="Yes",ABS(D154/(D122/1000))+SQRT((ABS(DESIGN!D36)^2)+((0.9*DESIGN!D37*D127/1000)/(2*D119/1000000))^2)+0.5*(-1*DESIGN!D35),ABS(D154/(D122/1000))+ABS(DESIGN!D36)+0.5*(-1*DESIGN!D35))</f>
        <v>7.0063944999999999</v>
      </c>
      <c r="E155" s="70" t="s">
        <v>46</v>
      </c>
      <c r="F155" s="11" t="s">
        <v>187</v>
      </c>
      <c r="H155" s="8" t="s">
        <v>193</v>
      </c>
      <c r="I155" s="108" t="s">
        <v>194</v>
      </c>
      <c r="J155" s="117">
        <f>IF(J151="Yes",ABS(J154/(J122/1000))+SQRT((ABS(DESIGN!D36)^2)+((0.9*DESIGN!D37*J127/1000)/(2*J119/1000000))^2)+0.5*(-1*DESIGN!D35),ABS(J154/(J122/1000))+ABS(DESIGN!D36)+0.5*(-1*DESIGN!D35))</f>
        <v>7.0063944999999999</v>
      </c>
      <c r="K155" s="70" t="s">
        <v>46</v>
      </c>
      <c r="L155" s="11" t="s">
        <v>187</v>
      </c>
    </row>
    <row r="156" spans="2:12" ht="15.6">
      <c r="B156" s="8" t="s">
        <v>195</v>
      </c>
      <c r="C156" s="108" t="s">
        <v>196</v>
      </c>
      <c r="D156" s="109">
        <f>MIN(D155*1000/(2*(DESIGN!D27*DESIGN!D52)),3*10^-3)</f>
        <v>7.7848827777777765E-6</v>
      </c>
      <c r="E156" s="70" t="s">
        <v>197</v>
      </c>
      <c r="F156" s="11" t="s">
        <v>187</v>
      </c>
      <c r="H156" s="8" t="s">
        <v>195</v>
      </c>
      <c r="I156" s="108" t="s">
        <v>196</v>
      </c>
      <c r="J156" s="109">
        <f>MIN(J155*1000/(2*(DESIGN!D27*DESIGN!D51)),3*10^-3)</f>
        <v>7.7848827777777765E-6</v>
      </c>
      <c r="K156" s="70" t="s">
        <v>197</v>
      </c>
      <c r="L156" s="11" t="s">
        <v>187</v>
      </c>
    </row>
    <row r="157" spans="2:12" ht="15.6">
      <c r="B157" s="8" t="s">
        <v>198</v>
      </c>
      <c r="C157" s="108" t="s">
        <v>196</v>
      </c>
      <c r="D157" s="109">
        <f>IF(D156&lt;0,MAX(D155*1000/(2*(DESIGN!D27*D152+J169*D153)),-0.2*10^-3),D156)</f>
        <v>7.7848827777777765E-6</v>
      </c>
      <c r="E157" s="70" t="s">
        <v>197</v>
      </c>
      <c r="F157" s="11" t="s">
        <v>187</v>
      </c>
      <c r="H157" s="8" t="s">
        <v>198</v>
      </c>
      <c r="I157" s="108" t="s">
        <v>196</v>
      </c>
      <c r="J157" s="109">
        <f>IF(J156&lt;0,MAX(J155*1000/(2*(DESIGN!D27*J152+D169*J153)),-0.2*10^-3),J156)</f>
        <v>7.7848827777777765E-6</v>
      </c>
      <c r="K157" s="70" t="s">
        <v>197</v>
      </c>
      <c r="L157" s="11" t="s">
        <v>187</v>
      </c>
    </row>
    <row r="158" spans="2:12" ht="15.6">
      <c r="B158" s="8" t="s">
        <v>199</v>
      </c>
      <c r="C158" s="108" t="s">
        <v>139</v>
      </c>
      <c r="D158" s="110">
        <f>IF(D125="Pass",(0.4/(1+1500*D157)),(0.4/(1+1500*D157))*(1300/(1000+D150*D122)))</f>
        <v>0.39538298471746997</v>
      </c>
      <c r="E158" s="70"/>
      <c r="F158" s="11" t="str">
        <f>F149</f>
        <v>[cl.8.2.4.2]</v>
      </c>
      <c r="H158" s="8" t="s">
        <v>199</v>
      </c>
      <c r="I158" s="108" t="s">
        <v>139</v>
      </c>
      <c r="J158" s="110">
        <f>IF(J125="Pass",(0.4/(1+1500*J157)),(0.4/(1+1500*J157))*(1300/(1000+J150*J122)))</f>
        <v>0.39538298471746997</v>
      </c>
      <c r="K158" s="70"/>
      <c r="L158" s="11" t="str">
        <f>L149</f>
        <v>[cl.8.2.4.2]</v>
      </c>
    </row>
    <row r="159" spans="2:12" ht="16.2" thickBot="1">
      <c r="B159" s="38" t="s">
        <v>200</v>
      </c>
      <c r="C159" s="111" t="s">
        <v>201</v>
      </c>
      <c r="D159" s="112">
        <f>(29+7000*D157)</f>
        <v>29.054494179444443</v>
      </c>
      <c r="E159" s="113" t="s">
        <v>202</v>
      </c>
      <c r="F159" s="43" t="str">
        <f>F158</f>
        <v>[cl.8.2.4.2]</v>
      </c>
      <c r="H159" s="38" t="s">
        <v>200</v>
      </c>
      <c r="I159" s="111" t="s">
        <v>201</v>
      </c>
      <c r="J159" s="112">
        <f>(29+7000*J157)</f>
        <v>29.054494179444443</v>
      </c>
      <c r="K159" s="113" t="s">
        <v>202</v>
      </c>
      <c r="L159" s="43" t="str">
        <f>L158</f>
        <v>[cl.8.2.4.2]</v>
      </c>
    </row>
    <row r="160" spans="2:12" ht="15" thickBot="1"/>
    <row r="161" spans="2:12" ht="18.600000000000001" thickBot="1">
      <c r="B161" s="176" t="s">
        <v>164</v>
      </c>
      <c r="C161" s="177"/>
    </row>
    <row r="162" spans="2:12" ht="15" thickBot="1"/>
    <row r="163" spans="2:12" ht="15.6">
      <c r="B163" s="37" t="s">
        <v>99</v>
      </c>
      <c r="C163" s="6"/>
      <c r="D163" s="6"/>
      <c r="E163" s="6"/>
      <c r="F163" s="7"/>
    </row>
    <row r="164" spans="2:12">
      <c r="B164" s="44" t="s">
        <v>100</v>
      </c>
      <c r="F164" s="13"/>
    </row>
    <row r="165" spans="2:12">
      <c r="B165" s="44" t="s">
        <v>109</v>
      </c>
      <c r="F165" s="13"/>
    </row>
    <row r="166" spans="2:12" ht="15" thickBot="1">
      <c r="B166" s="122" t="s">
        <v>315</v>
      </c>
      <c r="C166" s="46"/>
      <c r="D166" s="46"/>
      <c r="E166" s="46"/>
      <c r="F166" s="47"/>
    </row>
    <row r="167" spans="2:12" ht="15" thickBot="1"/>
    <row r="168" spans="2:12" ht="15.6">
      <c r="B168" s="37" t="s">
        <v>172</v>
      </c>
      <c r="C168" s="21"/>
      <c r="D168" s="21"/>
      <c r="E168" s="21"/>
      <c r="F168" s="22"/>
      <c r="H168" s="37" t="s">
        <v>173</v>
      </c>
      <c r="I168" s="21"/>
      <c r="J168" s="21"/>
      <c r="K168" s="21"/>
      <c r="L168" s="22"/>
    </row>
    <row r="169" spans="2:12" ht="15.6">
      <c r="B169" s="80" t="s">
        <v>146</v>
      </c>
      <c r="C169" s="5" t="s">
        <v>147</v>
      </c>
      <c r="D169" s="73">
        <f>((DESIGN!$D$10*100)^1.5)*0.043*SQRT(DESIGN!D23)</f>
        <v>35749.528668221668</v>
      </c>
      <c r="E169" s="10"/>
      <c r="F169" s="11"/>
      <c r="H169" s="80" t="s">
        <v>146</v>
      </c>
      <c r="I169" s="5" t="s">
        <v>147</v>
      </c>
      <c r="J169" s="73">
        <f>((DESIGN!$D$10*100)^1.5)*0.043*SQRT(DESIGN!D23)</f>
        <v>35749.528668221668</v>
      </c>
      <c r="K169" s="10"/>
      <c r="L169" s="11"/>
    </row>
    <row r="170" spans="2:12" ht="15.6">
      <c r="B170" s="8" t="s">
        <v>148</v>
      </c>
      <c r="C170" s="5" t="s">
        <v>149</v>
      </c>
      <c r="D170" s="42">
        <f>0.6*DESIGN!D23</f>
        <v>30</v>
      </c>
      <c r="E170" s="10" t="s">
        <v>25</v>
      </c>
      <c r="F170" s="11" t="s">
        <v>150</v>
      </c>
      <c r="H170" s="8" t="s">
        <v>148</v>
      </c>
      <c r="I170" s="5" t="s">
        <v>149</v>
      </c>
      <c r="J170" s="42">
        <f>0.6*DESIGN!D23</f>
        <v>30</v>
      </c>
      <c r="K170" s="10" t="s">
        <v>25</v>
      </c>
      <c r="L170" s="11" t="s">
        <v>150</v>
      </c>
    </row>
    <row r="171" spans="2:12" ht="15.6">
      <c r="B171" s="8" t="s">
        <v>151</v>
      </c>
      <c r="C171" s="5" t="s">
        <v>152</v>
      </c>
      <c r="D171" s="74">
        <v>175</v>
      </c>
      <c r="E171" s="10" t="s">
        <v>25</v>
      </c>
      <c r="F171" s="11"/>
      <c r="H171" s="8" t="s">
        <v>151</v>
      </c>
      <c r="I171" s="5" t="s">
        <v>152</v>
      </c>
      <c r="J171" s="74">
        <v>175</v>
      </c>
      <c r="K171" s="10" t="s">
        <v>25</v>
      </c>
      <c r="L171" s="11"/>
    </row>
    <row r="172" spans="2:12" ht="15.6">
      <c r="B172" s="8" t="s">
        <v>163</v>
      </c>
      <c r="C172" s="5" t="s">
        <v>153</v>
      </c>
      <c r="D172" s="124">
        <f>DESIGN!D27/D169</f>
        <v>5.5944793526126464</v>
      </c>
      <c r="E172" s="75"/>
      <c r="F172" s="14"/>
      <c r="H172" s="8" t="s">
        <v>163</v>
      </c>
      <c r="I172" s="5" t="s">
        <v>153</v>
      </c>
      <c r="J172" s="124">
        <f>DESIGN!D27/J169</f>
        <v>5.5944793526126464</v>
      </c>
      <c r="K172" s="75"/>
      <c r="L172" s="14"/>
    </row>
    <row r="173" spans="2:12" ht="15.6">
      <c r="B173" s="8" t="s">
        <v>162</v>
      </c>
      <c r="C173" s="5" t="s">
        <v>154</v>
      </c>
      <c r="D173" s="123">
        <f>DESIGN!D52/(DESIGN!D8*DESIGN!D9)</f>
        <v>3.7499999999999999E-3</v>
      </c>
      <c r="E173" s="76"/>
      <c r="F173" s="14"/>
      <c r="H173" s="8" t="s">
        <v>162</v>
      </c>
      <c r="I173" s="5" t="s">
        <v>154</v>
      </c>
      <c r="J173" s="123">
        <f>DESIGN!D51/(DESIGN!D8*DESIGN!D9)</f>
        <v>3.7499999999999999E-3</v>
      </c>
      <c r="K173" s="76"/>
      <c r="L173" s="14"/>
    </row>
    <row r="174" spans="2:12" ht="15.6">
      <c r="B174" s="8" t="s">
        <v>161</v>
      </c>
      <c r="C174" s="5" t="s">
        <v>155</v>
      </c>
      <c r="D174" s="124">
        <f>SQRT((D172*D173)^2+2*D173*D172)-D172*D173</f>
        <v>0.1849302118516771</v>
      </c>
      <c r="E174" s="75"/>
      <c r="F174" s="14"/>
      <c r="H174" s="8" t="s">
        <v>161</v>
      </c>
      <c r="I174" s="5" t="s">
        <v>155</v>
      </c>
      <c r="J174" s="124">
        <f>SQRT((J173*J172)^2+J173*J172*2)-J172*J173</f>
        <v>0.1849302118516771</v>
      </c>
      <c r="K174" s="75"/>
      <c r="L174" s="14"/>
    </row>
    <row r="175" spans="2:12" ht="15.6">
      <c r="B175" s="8"/>
      <c r="C175" s="5" t="s">
        <v>156</v>
      </c>
      <c r="D175" s="124">
        <f>1-D174/3</f>
        <v>0.93835659604944099</v>
      </c>
      <c r="F175" s="14"/>
      <c r="H175" s="8"/>
      <c r="I175" s="5" t="s">
        <v>156</v>
      </c>
      <c r="J175" s="124">
        <f>1-J174/3</f>
        <v>0.93835659604944099</v>
      </c>
      <c r="L175" s="14"/>
    </row>
    <row r="176" spans="2:12" ht="15.6">
      <c r="B176" s="8"/>
      <c r="C176" s="5" t="s">
        <v>157</v>
      </c>
      <c r="D176" s="77">
        <f>2*DESIGN!$D$38/(D175*(DESIGN!$D$50^2)*DESIGN!$D$9*D174)*1000000</f>
        <v>24.182581057470756</v>
      </c>
      <c r="F176" s="14"/>
      <c r="H176" s="8"/>
      <c r="I176" s="5" t="s">
        <v>157</v>
      </c>
      <c r="J176" s="77">
        <f>2*DESIGN!$D$38/(J175*(DESIGN!$D$50^2)*DESIGN!$D$9*J174)*1000000</f>
        <v>24.182581057470756</v>
      </c>
      <c r="L176" s="14"/>
    </row>
    <row r="177" spans="2:12" ht="15.6">
      <c r="B177" s="8" t="s">
        <v>158</v>
      </c>
      <c r="C177" s="5" t="s">
        <v>52</v>
      </c>
      <c r="D177" s="78" t="str">
        <f>IF($D$170&gt;D176,"Pass","Fail")</f>
        <v>Pass</v>
      </c>
      <c r="F177" s="14"/>
      <c r="H177" s="8" t="s">
        <v>158</v>
      </c>
      <c r="I177" s="5" t="s">
        <v>52</v>
      </c>
      <c r="J177" s="78" t="str">
        <f>IF($J$170&gt;J176,"Pass","Fail")</f>
        <v>Pass</v>
      </c>
      <c r="L177" s="14"/>
    </row>
    <row r="178" spans="2:12" ht="15.6">
      <c r="B178" s="8"/>
      <c r="C178" s="5" t="s">
        <v>159</v>
      </c>
      <c r="D178" s="77">
        <f>DESIGN!$D$39/(DESIGN!$D$52*D175*DESIGN!$J$53)*1000000 + -1*D35*1000*0.5/D52</f>
        <v>-0.35316155555555551</v>
      </c>
      <c r="F178" s="14"/>
      <c r="H178" s="8"/>
      <c r="I178" s="5" t="s">
        <v>159</v>
      </c>
      <c r="J178" s="77">
        <f>DESIGN!$D$38/(DESIGN!$D$51*J175*DESIGN!$D$50)*1000000 + -1*D35*1000*0.5/D51</f>
        <v>488.59532740768509</v>
      </c>
      <c r="L178" s="14"/>
    </row>
    <row r="179" spans="2:12" ht="16.2" thickBot="1">
      <c r="B179" s="38" t="s">
        <v>160</v>
      </c>
      <c r="C179" s="39" t="s">
        <v>52</v>
      </c>
      <c r="D179" s="79" t="str">
        <f>IF($D$171&gt;D178,"Pass","Fail")</f>
        <v>Pass</v>
      </c>
      <c r="E179" s="46"/>
      <c r="F179" s="41"/>
      <c r="H179" s="38" t="s">
        <v>160</v>
      </c>
      <c r="I179" s="39" t="s">
        <v>52</v>
      </c>
      <c r="J179" s="79" t="str">
        <f>IF($J$171&gt;J178,"Pass","Fail")</f>
        <v>Fail</v>
      </c>
      <c r="K179" s="46"/>
      <c r="L179" s="41"/>
    </row>
  </sheetData>
  <mergeCells count="7">
    <mergeCell ref="B1:F1"/>
    <mergeCell ref="B5:C5"/>
    <mergeCell ref="B161:C161"/>
    <mergeCell ref="H140:L140"/>
    <mergeCell ref="B140:F140"/>
    <mergeCell ref="J149:K149"/>
    <mergeCell ref="D149:E149"/>
  </mergeCells>
  <pageMargins left="0.7" right="0.7" top="0.75" bottom="0.75" header="0.3" footer="0.3"/>
  <pageSetup paperSize="9" scale="31" fitToHeight="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DCAF4-6B98-46FE-8BD0-4B7FA0D7E329}">
  <sheetPr codeName="Sheet6">
    <tabColor theme="9" tint="0.59999389629810485"/>
    <pageSetUpPr fitToPage="1"/>
  </sheetPr>
  <dimension ref="B1:U179"/>
  <sheetViews>
    <sheetView topLeftCell="B1" zoomScale="70" zoomScaleNormal="70" workbookViewId="0">
      <selection activeCell="F5" sqref="F5"/>
    </sheetView>
  </sheetViews>
  <sheetFormatPr defaultRowHeight="14.4"/>
  <cols>
    <col min="2" max="2" width="40" customWidth="1"/>
    <col min="3" max="3" width="16.88671875" customWidth="1"/>
    <col min="4" max="4" width="12.33203125" bestFit="1" customWidth="1"/>
    <col min="5" max="5" width="11.88671875" customWidth="1"/>
    <col min="6" max="6" width="30.109375" customWidth="1"/>
    <col min="7" max="7" width="13.33203125" customWidth="1"/>
    <col min="8" max="8" width="43.44140625" customWidth="1"/>
    <col min="9" max="9" width="15.33203125" customWidth="1"/>
    <col min="10" max="10" width="13.33203125" bestFit="1" customWidth="1"/>
    <col min="11" max="11" width="10" bestFit="1" customWidth="1"/>
    <col min="12" max="12" width="28" customWidth="1"/>
  </cols>
  <sheetData>
    <row r="1" spans="2:20" ht="20.399999999999999" thickBot="1">
      <c r="B1" s="175" t="s">
        <v>326</v>
      </c>
      <c r="C1" s="175"/>
      <c r="D1" s="175"/>
      <c r="E1" s="175"/>
      <c r="F1" s="175"/>
    </row>
    <row r="2" spans="2:20" ht="15" thickTop="1"/>
    <row r="3" spans="2:20">
      <c r="B3" s="120" t="s">
        <v>229</v>
      </c>
      <c r="C3" t="s">
        <v>327</v>
      </c>
      <c r="D3" s="120" t="s">
        <v>230</v>
      </c>
      <c r="E3" s="119">
        <f ca="1">TODAY()</f>
        <v>46037</v>
      </c>
      <c r="F3" s="120" t="s">
        <v>231</v>
      </c>
      <c r="G3" s="119">
        <v>45426</v>
      </c>
    </row>
    <row r="4" spans="2:20" ht="15" thickBot="1"/>
    <row r="5" spans="2:20" ht="18.600000000000001" thickBot="1">
      <c r="B5" s="176" t="s">
        <v>0</v>
      </c>
      <c r="C5" s="177"/>
      <c r="D5" s="3"/>
      <c r="E5" s="4"/>
      <c r="F5" s="158" t="s">
        <v>330</v>
      </c>
      <c r="H5" s="87" t="s">
        <v>165</v>
      </c>
      <c r="I5" s="4"/>
      <c r="J5" s="4"/>
      <c r="K5" s="82"/>
    </row>
    <row r="6" spans="2:20" ht="16.2" thickBot="1">
      <c r="B6" s="5"/>
      <c r="C6" s="5"/>
    </row>
    <row r="7" spans="2:20" ht="15.6">
      <c r="B7" s="86" t="s">
        <v>174</v>
      </c>
      <c r="C7" s="6"/>
      <c r="D7" s="6"/>
      <c r="E7" s="6"/>
      <c r="F7" s="7"/>
      <c r="H7" s="147" t="s">
        <v>307</v>
      </c>
      <c r="I7" s="88" t="s">
        <v>39</v>
      </c>
      <c r="J7" s="89">
        <f>D33</f>
        <v>2500</v>
      </c>
      <c r="K7" s="90" t="s">
        <v>40</v>
      </c>
      <c r="L7" s="148"/>
      <c r="R7" t="s">
        <v>331</v>
      </c>
      <c r="S7" t="s">
        <v>330</v>
      </c>
    </row>
    <row r="8" spans="2:20" ht="15.6">
      <c r="B8" s="8" t="s">
        <v>175</v>
      </c>
      <c r="C8" s="5" t="s">
        <v>97</v>
      </c>
      <c r="D8" s="158">
        <f>IF(F$5="End Stage",S8,R8)</f>
        <v>1500</v>
      </c>
      <c r="E8" s="10" t="s">
        <v>2</v>
      </c>
      <c r="F8" s="11"/>
      <c r="H8" s="91"/>
      <c r="I8" s="92" t="s">
        <v>70</v>
      </c>
      <c r="J8" s="93">
        <f>J59</f>
        <v>7562.342248049943</v>
      </c>
      <c r="K8" s="94" t="s">
        <v>40</v>
      </c>
      <c r="L8" s="170" t="str">
        <f>J60</f>
        <v>Pass</v>
      </c>
      <c r="R8" s="161">
        <v>1050</v>
      </c>
      <c r="S8" s="161">
        <v>1500</v>
      </c>
      <c r="T8" s="161"/>
    </row>
    <row r="9" spans="2:20" ht="15.6">
      <c r="B9" s="8" t="s">
        <v>176</v>
      </c>
      <c r="C9" s="5" t="s">
        <v>3</v>
      </c>
      <c r="D9" s="9">
        <v>1000</v>
      </c>
      <c r="E9" s="10" t="s">
        <v>2</v>
      </c>
      <c r="F9" s="11"/>
      <c r="H9" s="91"/>
      <c r="I9" s="96" t="s">
        <v>166</v>
      </c>
      <c r="J9" s="93">
        <f>D56</f>
        <v>2786.1193859229161</v>
      </c>
      <c r="K9" s="94" t="s">
        <v>167</v>
      </c>
      <c r="L9" s="170" t="str">
        <f>D57</f>
        <v>Pass</v>
      </c>
      <c r="R9" s="161"/>
      <c r="S9" s="161"/>
      <c r="T9" s="161"/>
    </row>
    <row r="10" spans="2:20" ht="18">
      <c r="B10" s="8" t="s">
        <v>4</v>
      </c>
      <c r="C10" s="81" t="s">
        <v>124</v>
      </c>
      <c r="D10" s="9">
        <v>25</v>
      </c>
      <c r="E10" s="10" t="s">
        <v>5</v>
      </c>
      <c r="F10" s="11"/>
      <c r="H10" s="91"/>
      <c r="I10" s="97"/>
      <c r="J10" s="98"/>
      <c r="K10" s="97"/>
      <c r="L10" s="170"/>
      <c r="R10" s="161"/>
      <c r="S10" s="161"/>
      <c r="T10" s="161"/>
    </row>
    <row r="11" spans="2:20" ht="15.6">
      <c r="B11" s="8" t="s">
        <v>134</v>
      </c>
      <c r="C11" s="5" t="s">
        <v>1</v>
      </c>
      <c r="D11" s="70">
        <f>D8-((H34*I34)+(H35*I35)+(H36*I36)+(H37*I37)+(H38*I38))/(SUM(H34:H38))</f>
        <v>1370.5</v>
      </c>
      <c r="E11" s="10" t="s">
        <v>2</v>
      </c>
      <c r="F11" s="121" t="s">
        <v>232</v>
      </c>
      <c r="H11" s="91" t="s">
        <v>168</v>
      </c>
      <c r="I11" s="96" t="s">
        <v>171</v>
      </c>
      <c r="J11" s="93">
        <f>'PC-B1-3_DDR'!J120</f>
        <v>3256.7768289429041</v>
      </c>
      <c r="K11" s="94" t="s">
        <v>46</v>
      </c>
      <c r="L11" s="170"/>
      <c r="R11" s="161"/>
      <c r="S11" s="161"/>
      <c r="T11" s="161"/>
    </row>
    <row r="12" spans="2:20" ht="15.6">
      <c r="B12" s="84" t="s">
        <v>6</v>
      </c>
      <c r="D12" s="12"/>
      <c r="F12" s="13"/>
      <c r="H12" s="91"/>
      <c r="I12" s="92" t="s">
        <v>169</v>
      </c>
      <c r="J12" s="93">
        <f>'PC-B1-3_DDR'!D132</f>
        <v>4484.5804312715645</v>
      </c>
      <c r="K12" s="94" t="s">
        <v>46</v>
      </c>
      <c r="L12" s="170" t="str">
        <f>'PC-B1-3_DDR'!D133</f>
        <v>Pass</v>
      </c>
      <c r="R12" s="161"/>
      <c r="S12" s="161"/>
      <c r="T12" s="161"/>
    </row>
    <row r="13" spans="2:20" ht="15.6">
      <c r="B13" s="8" t="s">
        <v>7</v>
      </c>
      <c r="C13" s="5" t="s">
        <v>8</v>
      </c>
      <c r="D13" s="158">
        <f>IF(F$5="End Stage",S13,R13)</f>
        <v>50</v>
      </c>
      <c r="E13" s="10" t="s">
        <v>2</v>
      </c>
      <c r="F13" s="11" t="s">
        <v>9</v>
      </c>
      <c r="H13" s="91"/>
      <c r="I13" s="92" t="s">
        <v>170</v>
      </c>
      <c r="J13" s="93">
        <f>'PC-B1-3_DDR'!J132</f>
        <v>4042.7964248110738</v>
      </c>
      <c r="K13" s="94" t="s">
        <v>46</v>
      </c>
      <c r="L13" s="170" t="str">
        <f>'PC-B1-3_DDR'!J133</f>
        <v>Pass</v>
      </c>
      <c r="R13" s="161">
        <v>35</v>
      </c>
      <c r="S13" s="161">
        <v>50</v>
      </c>
      <c r="T13" s="161"/>
    </row>
    <row r="14" spans="2:20" ht="15.6">
      <c r="B14" s="8" t="s">
        <v>10</v>
      </c>
      <c r="C14" s="5" t="s">
        <v>8</v>
      </c>
      <c r="D14" s="9">
        <v>65</v>
      </c>
      <c r="E14" s="10" t="s">
        <v>2</v>
      </c>
      <c r="F14" s="11" t="s">
        <v>9</v>
      </c>
      <c r="H14" s="91"/>
      <c r="I14" s="97"/>
      <c r="J14" s="99"/>
      <c r="K14" s="97"/>
      <c r="L14" s="170"/>
      <c r="R14" s="161"/>
      <c r="S14" s="161"/>
      <c r="T14" s="161"/>
    </row>
    <row r="15" spans="2:20" ht="15.6">
      <c r="B15" s="8" t="s">
        <v>11</v>
      </c>
      <c r="C15" s="5" t="s">
        <v>12</v>
      </c>
      <c r="D15" s="158">
        <f>IF(F$5="End Stage",S15,R15)</f>
        <v>36</v>
      </c>
      <c r="E15" s="10" t="s">
        <v>2</v>
      </c>
      <c r="F15" s="11"/>
      <c r="H15" s="91" t="s">
        <v>177</v>
      </c>
      <c r="I15" s="96" t="s">
        <v>157</v>
      </c>
      <c r="J15" s="99">
        <f>'PC-B1-3_DDR'!D176</f>
        <v>10.715663176425121</v>
      </c>
      <c r="K15" s="94" t="s">
        <v>25</v>
      </c>
      <c r="L15" s="171" t="str">
        <f>'PC-B1-3_DDR'!D177</f>
        <v>Pass</v>
      </c>
      <c r="R15" s="164">
        <v>20</v>
      </c>
      <c r="S15" s="164">
        <v>36</v>
      </c>
      <c r="T15" s="161"/>
    </row>
    <row r="16" spans="2:20" ht="15.6">
      <c r="B16" s="8" t="s">
        <v>13</v>
      </c>
      <c r="C16" s="5" t="s">
        <v>14</v>
      </c>
      <c r="D16" s="9">
        <v>36</v>
      </c>
      <c r="E16" s="10" t="s">
        <v>2</v>
      </c>
      <c r="F16" s="11"/>
      <c r="H16" s="91"/>
      <c r="I16" s="96" t="s">
        <v>159</v>
      </c>
      <c r="J16" s="99">
        <f>'PC-B1-3_DDR'!D178</f>
        <v>16.229817000353478</v>
      </c>
      <c r="K16" s="94" t="s">
        <v>25</v>
      </c>
      <c r="L16" s="171" t="str">
        <f>'PC-B1-3_DDR'!D179</f>
        <v>Pass</v>
      </c>
      <c r="R16" s="161"/>
      <c r="S16" s="161"/>
      <c r="T16" s="161"/>
    </row>
    <row r="17" spans="2:20" ht="15.6">
      <c r="B17" s="84" t="s">
        <v>15</v>
      </c>
      <c r="D17" s="12"/>
      <c r="F17" s="13"/>
      <c r="H17" s="91"/>
      <c r="I17" s="97"/>
      <c r="J17" s="99"/>
      <c r="K17" s="97"/>
      <c r="L17" s="170"/>
      <c r="R17" s="161"/>
      <c r="S17" s="161"/>
      <c r="T17" s="161"/>
    </row>
    <row r="18" spans="2:20" ht="15.6">
      <c r="B18" s="8" t="s">
        <v>16</v>
      </c>
      <c r="C18" s="5" t="s">
        <v>17</v>
      </c>
      <c r="D18" s="9">
        <v>16</v>
      </c>
      <c r="E18" s="10" t="s">
        <v>2</v>
      </c>
      <c r="F18" s="14"/>
      <c r="H18" s="91" t="s">
        <v>178</v>
      </c>
      <c r="I18" s="96" t="s">
        <v>157</v>
      </c>
      <c r="J18" s="99">
        <f>'PC-B1-3_DDR'!J176</f>
        <v>8.1373211885637939</v>
      </c>
      <c r="K18" s="94" t="s">
        <v>25</v>
      </c>
      <c r="L18" s="171" t="str">
        <f>'PC-B1-3_DDR'!J177</f>
        <v>Pass</v>
      </c>
      <c r="R18" s="161"/>
      <c r="S18" s="161"/>
      <c r="T18" s="161"/>
    </row>
    <row r="19" spans="2:20" ht="16.2" thickBot="1">
      <c r="B19" s="8" t="s">
        <v>18</v>
      </c>
      <c r="C19" s="5" t="s">
        <v>19</v>
      </c>
      <c r="D19" s="9">
        <v>200</v>
      </c>
      <c r="E19" s="10" t="s">
        <v>2</v>
      </c>
      <c r="F19" s="14"/>
      <c r="H19" s="101"/>
      <c r="I19" s="102" t="s">
        <v>159</v>
      </c>
      <c r="J19" s="103">
        <f>'PC-B1-3_DDR'!J178</f>
        <v>47.453642990270936</v>
      </c>
      <c r="K19" s="104" t="s">
        <v>25</v>
      </c>
      <c r="L19" s="172" t="str">
        <f>'PC-B1-3_DDR'!J179</f>
        <v>Pass</v>
      </c>
      <c r="R19" s="161"/>
      <c r="S19" s="161"/>
      <c r="T19" s="161"/>
    </row>
    <row r="20" spans="2:20" ht="16.2" thickBot="1">
      <c r="B20" s="8" t="s">
        <v>20</v>
      </c>
      <c r="C20" s="5"/>
      <c r="D20" s="9">
        <v>6</v>
      </c>
      <c r="F20" s="14"/>
      <c r="R20" s="161"/>
      <c r="S20" s="161"/>
      <c r="T20" s="161"/>
    </row>
    <row r="21" spans="2:20" ht="15.6">
      <c r="B21" s="8" t="s">
        <v>123</v>
      </c>
      <c r="C21" s="5" t="s">
        <v>17</v>
      </c>
      <c r="D21" s="9">
        <v>16</v>
      </c>
      <c r="E21" s="10" t="s">
        <v>2</v>
      </c>
      <c r="F21" s="11"/>
      <c r="H21" s="163" t="s">
        <v>335</v>
      </c>
      <c r="I21" s="6"/>
      <c r="J21" s="6"/>
      <c r="K21" s="6"/>
      <c r="L21" s="7"/>
      <c r="R21" s="161"/>
      <c r="S21" s="161"/>
      <c r="T21" s="161"/>
    </row>
    <row r="22" spans="2:20" ht="15.6">
      <c r="B22" s="84" t="s">
        <v>22</v>
      </c>
      <c r="C22" s="15"/>
      <c r="D22" s="16"/>
      <c r="F22" s="11"/>
      <c r="H22" s="52" t="s">
        <v>332</v>
      </c>
      <c r="I22" s="5" t="s">
        <v>152</v>
      </c>
      <c r="J22" s="158">
        <f>IF(F$5="End Stage",S22,R22)</f>
        <v>150</v>
      </c>
      <c r="K22" s="10" t="s">
        <v>25</v>
      </c>
      <c r="L22" s="13" t="s">
        <v>333</v>
      </c>
      <c r="R22" s="161">
        <v>155</v>
      </c>
      <c r="S22" s="161">
        <v>150</v>
      </c>
      <c r="T22" s="161"/>
    </row>
    <row r="23" spans="2:20" ht="16.2" thickBot="1">
      <c r="B23" s="8" t="s">
        <v>23</v>
      </c>
      <c r="C23" s="5" t="s">
        <v>24</v>
      </c>
      <c r="D23" s="9">
        <v>50</v>
      </c>
      <c r="E23" s="10" t="s">
        <v>25</v>
      </c>
      <c r="F23" s="11"/>
      <c r="H23" s="162" t="s">
        <v>332</v>
      </c>
      <c r="I23" s="39" t="s">
        <v>152</v>
      </c>
      <c r="J23" s="83">
        <v>150</v>
      </c>
      <c r="K23" s="40" t="s">
        <v>25</v>
      </c>
      <c r="L23" s="47" t="s">
        <v>334</v>
      </c>
      <c r="R23" s="161"/>
      <c r="S23" s="161"/>
      <c r="T23" s="161"/>
    </row>
    <row r="24" spans="2:20" ht="16.2" thickBot="1">
      <c r="B24" s="8" t="s">
        <v>26</v>
      </c>
      <c r="C24" s="5" t="s">
        <v>27</v>
      </c>
      <c r="D24" s="9">
        <v>500</v>
      </c>
      <c r="E24" s="10" t="s">
        <v>25</v>
      </c>
      <c r="F24" s="11" t="s">
        <v>28</v>
      </c>
      <c r="O24" t="s">
        <v>328</v>
      </c>
      <c r="P24" s="9">
        <v>150</v>
      </c>
      <c r="R24" s="161"/>
      <c r="S24" s="161"/>
      <c r="T24" s="161"/>
    </row>
    <row r="25" spans="2:20" ht="16.2" thickBot="1">
      <c r="B25" s="8" t="s">
        <v>29</v>
      </c>
      <c r="C25" s="5" t="s">
        <v>27</v>
      </c>
      <c r="D25" s="9">
        <v>500</v>
      </c>
      <c r="E25" s="10" t="s">
        <v>25</v>
      </c>
      <c r="F25" s="11" t="s">
        <v>28</v>
      </c>
      <c r="H25" s="20" t="s">
        <v>325</v>
      </c>
      <c r="I25" s="21"/>
      <c r="J25" s="22"/>
      <c r="O25" t="s">
        <v>329</v>
      </c>
      <c r="P25">
        <f>ROUNDDOWN(1+(D9-2*D14)/P24,0)</f>
        <v>6</v>
      </c>
      <c r="Q25">
        <f>1+(D9-2*D14)/P24</f>
        <v>6.8</v>
      </c>
      <c r="R25" s="161"/>
      <c r="S25" s="161"/>
      <c r="T25" s="161"/>
    </row>
    <row r="26" spans="2:20" ht="16.2" thickTop="1">
      <c r="B26" s="8" t="s">
        <v>102</v>
      </c>
      <c r="C26" s="5" t="s">
        <v>103</v>
      </c>
      <c r="D26" s="9">
        <v>500</v>
      </c>
      <c r="E26" s="10" t="s">
        <v>25</v>
      </c>
      <c r="F26" s="11" t="s">
        <v>28</v>
      </c>
      <c r="H26" s="23" t="s">
        <v>53</v>
      </c>
      <c r="I26" s="24" t="s">
        <v>72</v>
      </c>
      <c r="J26" s="25" t="s">
        <v>73</v>
      </c>
      <c r="R26" s="161"/>
      <c r="S26" s="161"/>
      <c r="T26" s="161"/>
    </row>
    <row r="27" spans="2:20" ht="15.6">
      <c r="B27" s="8" t="s">
        <v>30</v>
      </c>
      <c r="C27" s="5" t="s">
        <v>31</v>
      </c>
      <c r="D27" s="17">
        <v>200000</v>
      </c>
      <c r="E27" s="10" t="s">
        <v>25</v>
      </c>
      <c r="F27" s="11" t="s">
        <v>32</v>
      </c>
      <c r="H27" s="165">
        <f>IF(F$5="End Stage",S27,R27)</f>
        <v>7</v>
      </c>
      <c r="I27" s="27">
        <f>IF(H27=0,0,D13+0.5*D15+D18)</f>
        <v>84</v>
      </c>
      <c r="J27" s="28">
        <f>H27*I27</f>
        <v>588</v>
      </c>
      <c r="R27" s="161">
        <v>7</v>
      </c>
      <c r="S27" s="161">
        <v>7</v>
      </c>
      <c r="T27" s="161"/>
    </row>
    <row r="28" spans="2:20" ht="15.6">
      <c r="B28" s="8" t="s">
        <v>226</v>
      </c>
      <c r="C28" s="5" t="s">
        <v>227</v>
      </c>
      <c r="D28" s="9">
        <v>16</v>
      </c>
      <c r="E28" s="10" t="s">
        <v>2</v>
      </c>
      <c r="F28" s="11" t="s">
        <v>184</v>
      </c>
      <c r="H28" s="29">
        <v>0</v>
      </c>
      <c r="I28" s="30">
        <f>IF(H28=0,0,I27+150)</f>
        <v>0</v>
      </c>
      <c r="J28" s="31">
        <f>H28*I28</f>
        <v>0</v>
      </c>
      <c r="K28" s="151"/>
      <c r="R28" s="161"/>
      <c r="S28" s="161"/>
      <c r="T28" s="161"/>
    </row>
    <row r="29" spans="2:20" ht="15.6">
      <c r="B29" s="84" t="s">
        <v>33</v>
      </c>
      <c r="D29" s="12"/>
      <c r="F29" s="13"/>
      <c r="H29" s="29">
        <v>0</v>
      </c>
      <c r="I29" s="30">
        <f>IF(H29=0,0,I28+150)</f>
        <v>0</v>
      </c>
      <c r="J29" s="31">
        <f>H29*I29</f>
        <v>0</v>
      </c>
      <c r="R29" s="161"/>
      <c r="S29" s="161"/>
      <c r="T29" s="161"/>
    </row>
    <row r="30" spans="2:20" ht="15.6">
      <c r="B30" s="8" t="s">
        <v>34</v>
      </c>
      <c r="C30" s="18" t="s">
        <v>35</v>
      </c>
      <c r="D30" s="9">
        <v>0.8</v>
      </c>
      <c r="F30" s="11" t="s">
        <v>36</v>
      </c>
      <c r="H30" s="29">
        <v>0</v>
      </c>
      <c r="I30" s="30">
        <f>IF(H30=0,0,I29+$D$13+0.5*$D$15)</f>
        <v>0</v>
      </c>
      <c r="J30" s="31">
        <f>H30*I30</f>
        <v>0</v>
      </c>
      <c r="R30" s="161"/>
      <c r="S30" s="161"/>
      <c r="T30" s="161"/>
    </row>
    <row r="31" spans="2:20" ht="16.2" thickBot="1">
      <c r="B31" s="8" t="s">
        <v>145</v>
      </c>
      <c r="C31" s="18" t="s">
        <v>35</v>
      </c>
      <c r="D31" s="9">
        <v>0.7</v>
      </c>
      <c r="F31" s="11" t="s">
        <v>36</v>
      </c>
      <c r="H31" s="29">
        <v>0</v>
      </c>
      <c r="I31" s="30">
        <f>IF(H31=0,0,I30+$D$13+0.5*$D$15)</f>
        <v>0</v>
      </c>
      <c r="J31" s="31">
        <f>H31*I31</f>
        <v>0</v>
      </c>
      <c r="R31" s="161"/>
      <c r="S31" s="161"/>
      <c r="T31" s="161"/>
    </row>
    <row r="32" spans="2:20" ht="16.2" thickBot="1">
      <c r="B32" s="84" t="s">
        <v>37</v>
      </c>
      <c r="C32" s="5"/>
      <c r="D32" s="85"/>
      <c r="F32" s="14"/>
      <c r="H32" s="20" t="s">
        <v>324</v>
      </c>
      <c r="I32" s="21"/>
      <c r="J32" s="32"/>
      <c r="R32" s="161"/>
      <c r="S32" s="161"/>
      <c r="T32" s="161"/>
    </row>
    <row r="33" spans="2:21" ht="16.2" thickTop="1">
      <c r="B33" s="8" t="s">
        <v>38</v>
      </c>
      <c r="C33" s="5" t="s">
        <v>39</v>
      </c>
      <c r="D33" s="159">
        <f>IF(F$5="End Stage",S33,R33)</f>
        <v>2500</v>
      </c>
      <c r="E33" s="10" t="s">
        <v>40</v>
      </c>
      <c r="F33" s="11" t="s">
        <v>41</v>
      </c>
      <c r="H33" s="23" t="s">
        <v>53</v>
      </c>
      <c r="I33" s="24" t="s">
        <v>72</v>
      </c>
      <c r="J33" s="25" t="s">
        <v>73</v>
      </c>
      <c r="P33">
        <v>2120</v>
      </c>
      <c r="R33" s="161">
        <v>1980</v>
      </c>
      <c r="S33" s="161">
        <v>2500</v>
      </c>
      <c r="T33" s="161"/>
      <c r="U33">
        <v>2400</v>
      </c>
    </row>
    <row r="34" spans="2:21" ht="15.6">
      <c r="B34" s="8" t="s">
        <v>42</v>
      </c>
      <c r="C34" s="5" t="s">
        <v>43</v>
      </c>
      <c r="D34" s="159">
        <f t="shared" ref="D34:D39" si="0">IF(F$5="End Stage",S34,R34)</f>
        <v>1780</v>
      </c>
      <c r="E34" s="10" t="s">
        <v>40</v>
      </c>
      <c r="F34" s="11" t="s">
        <v>41</v>
      </c>
      <c r="H34" s="26">
        <v>7</v>
      </c>
      <c r="I34" s="27">
        <f>IF(H34=0,0,D14+0.5*D16+D18)</f>
        <v>99</v>
      </c>
      <c r="J34" s="28">
        <f>H34*I34</f>
        <v>693</v>
      </c>
      <c r="L34" s="19"/>
      <c r="P34">
        <v>0</v>
      </c>
      <c r="R34" s="161">
        <v>0</v>
      </c>
      <c r="S34" s="161">
        <v>1780</v>
      </c>
      <c r="T34" s="161"/>
      <c r="U34">
        <v>1770</v>
      </c>
    </row>
    <row r="35" spans="2:21" ht="15.6">
      <c r="B35" s="8" t="s">
        <v>224</v>
      </c>
      <c r="C35" s="5" t="s">
        <v>225</v>
      </c>
      <c r="D35" s="159">
        <f t="shared" si="0"/>
        <v>1660</v>
      </c>
      <c r="E35" s="10" t="s">
        <v>46</v>
      </c>
      <c r="F35" s="11" t="s">
        <v>41</v>
      </c>
      <c r="H35" s="29">
        <v>7</v>
      </c>
      <c r="I35" s="30">
        <f>IF(H35=0,0,I34+D16+25)</f>
        <v>160</v>
      </c>
      <c r="J35" s="31">
        <f>H35*I35</f>
        <v>1120</v>
      </c>
      <c r="P35">
        <v>0</v>
      </c>
      <c r="R35" s="161">
        <v>0</v>
      </c>
      <c r="S35" s="161">
        <v>1660</v>
      </c>
      <c r="T35" s="161"/>
      <c r="U35">
        <v>1530</v>
      </c>
    </row>
    <row r="36" spans="2:21" ht="15.6">
      <c r="B36" s="8" t="s">
        <v>44</v>
      </c>
      <c r="C36" s="5" t="s">
        <v>45</v>
      </c>
      <c r="D36" s="159">
        <f t="shared" si="0"/>
        <v>1200</v>
      </c>
      <c r="E36" s="10" t="s">
        <v>46</v>
      </c>
      <c r="F36" s="11" t="s">
        <v>41</v>
      </c>
      <c r="H36" s="29">
        <v>0</v>
      </c>
      <c r="I36" s="30">
        <f>IF(H36=0,0,I35+$D$13+0.5*$D$16)</f>
        <v>0</v>
      </c>
      <c r="J36" s="31">
        <f>H36*I36</f>
        <v>0</v>
      </c>
      <c r="P36">
        <v>880</v>
      </c>
      <c r="R36" s="161">
        <v>830</v>
      </c>
      <c r="S36" s="161">
        <v>1200</v>
      </c>
      <c r="T36" s="161"/>
      <c r="U36">
        <v>1160</v>
      </c>
    </row>
    <row r="37" spans="2:21" ht="15.6">
      <c r="B37" s="8" t="s">
        <v>49</v>
      </c>
      <c r="C37" s="5" t="s">
        <v>50</v>
      </c>
      <c r="D37" s="159">
        <f t="shared" si="0"/>
        <v>1520</v>
      </c>
      <c r="E37" s="10" t="s">
        <v>40</v>
      </c>
      <c r="F37" s="11" t="s">
        <v>41</v>
      </c>
      <c r="H37" s="29">
        <v>0</v>
      </c>
      <c r="I37" s="30">
        <f>IF(H37=0,0,I36+$D$13+0.5*$D$16)</f>
        <v>0</v>
      </c>
      <c r="J37" s="31">
        <f>H37*I37</f>
        <v>0</v>
      </c>
      <c r="P37">
        <v>0</v>
      </c>
      <c r="R37" s="161">
        <v>0</v>
      </c>
      <c r="S37" s="161">
        <v>1520</v>
      </c>
      <c r="T37" s="161"/>
      <c r="U37">
        <v>1360</v>
      </c>
    </row>
    <row r="38" spans="2:21" ht="15.6">
      <c r="B38" s="8" t="s">
        <v>47</v>
      </c>
      <c r="C38" s="5" t="s">
        <v>39</v>
      </c>
      <c r="D38" s="159">
        <f t="shared" si="0"/>
        <v>1880</v>
      </c>
      <c r="E38" s="10" t="s">
        <v>40</v>
      </c>
      <c r="F38" s="11" t="s">
        <v>41</v>
      </c>
      <c r="H38" s="29">
        <v>0</v>
      </c>
      <c r="I38" s="30">
        <f>IF(H38=0,0,I37+$D$13+0.5*$D$16)</f>
        <v>0</v>
      </c>
      <c r="J38" s="31">
        <f>H38*I38</f>
        <v>0</v>
      </c>
      <c r="P38">
        <v>1630</v>
      </c>
      <c r="R38" s="161">
        <v>1515</v>
      </c>
      <c r="S38" s="161">
        <v>1880</v>
      </c>
      <c r="T38" s="161"/>
      <c r="U38">
        <v>1810</v>
      </c>
    </row>
    <row r="39" spans="2:21" ht="16.2" thickBot="1">
      <c r="B39" s="38" t="s">
        <v>48</v>
      </c>
      <c r="C39" s="39" t="s">
        <v>43</v>
      </c>
      <c r="D39" s="160">
        <f t="shared" si="0"/>
        <v>1250</v>
      </c>
      <c r="E39" s="40" t="s">
        <v>40</v>
      </c>
      <c r="F39" s="43" t="s">
        <v>41</v>
      </c>
      <c r="H39" s="34" t="s">
        <v>74</v>
      </c>
      <c r="I39" s="35" t="s">
        <v>52</v>
      </c>
      <c r="J39" s="36"/>
      <c r="P39">
        <v>0</v>
      </c>
      <c r="R39" s="161">
        <v>0</v>
      </c>
      <c r="S39" s="161">
        <v>1250</v>
      </c>
      <c r="T39" s="161"/>
      <c r="U39">
        <v>1240</v>
      </c>
    </row>
    <row r="40" spans="2:21" ht="15" thickBot="1"/>
    <row r="41" spans="2:21" ht="18.600000000000001" thickBot="1">
      <c r="B41" s="1" t="s">
        <v>51</v>
      </c>
      <c r="C41" s="5"/>
      <c r="I41" s="48"/>
      <c r="J41" s="48"/>
    </row>
    <row r="42" spans="2:21" ht="16.2" thickBot="1">
      <c r="B42" s="5"/>
      <c r="C42" s="5"/>
      <c r="L42" s="19"/>
    </row>
    <row r="43" spans="2:21" ht="15.6">
      <c r="B43" s="37" t="s">
        <v>99</v>
      </c>
      <c r="C43" s="6"/>
      <c r="D43" s="6"/>
      <c r="E43" s="6"/>
      <c r="F43" s="7"/>
    </row>
    <row r="44" spans="2:21">
      <c r="B44" s="44" t="s">
        <v>100</v>
      </c>
      <c r="F44" s="13"/>
    </row>
    <row r="45" spans="2:21">
      <c r="B45" s="44" t="s">
        <v>109</v>
      </c>
      <c r="F45" s="13"/>
    </row>
    <row r="46" spans="2:21">
      <c r="B46" s="44"/>
      <c r="F46" s="13"/>
    </row>
    <row r="47" spans="2:21" ht="15" thickBot="1">
      <c r="B47" s="45"/>
      <c r="C47" s="46"/>
      <c r="D47" s="46"/>
      <c r="E47" s="46"/>
      <c r="F47" s="47"/>
    </row>
    <row r="48" spans="2:21" ht="15" thickBot="1"/>
    <row r="49" spans="2:16" ht="15.6">
      <c r="B49" s="67"/>
      <c r="C49" s="68"/>
      <c r="D49" s="21"/>
      <c r="E49" s="21"/>
      <c r="F49" s="22"/>
    </row>
    <row r="50" spans="2:16" ht="15.6">
      <c r="B50" s="8" t="s">
        <v>54</v>
      </c>
      <c r="C50" s="5" t="s">
        <v>1</v>
      </c>
      <c r="D50" s="70">
        <f>D8-((H34*I34)+(H35*I35)+(H36*I36)+(H37*I37)+(H38*I38))/(SUM(H34:H38))</f>
        <v>1370.5</v>
      </c>
      <c r="E50" s="10" t="s">
        <v>2</v>
      </c>
      <c r="F50" s="14"/>
      <c r="N50" s="42"/>
    </row>
    <row r="51" spans="2:16" ht="15.6">
      <c r="B51" s="8" t="s">
        <v>295</v>
      </c>
      <c r="C51" s="5" t="s">
        <v>55</v>
      </c>
      <c r="D51" s="71">
        <f>SUM(H34:H38)*ROUND(PI()*D16^2*0.25,-1)</f>
        <v>14280</v>
      </c>
      <c r="E51" s="10" t="s">
        <v>56</v>
      </c>
      <c r="F51" s="14"/>
    </row>
    <row r="52" spans="2:16" ht="16.2" thickBot="1">
      <c r="B52" s="8" t="s">
        <v>296</v>
      </c>
      <c r="C52" s="5" t="s">
        <v>297</v>
      </c>
      <c r="D52" s="71">
        <f>SUM(H27:H31)*ROUND(PI()*D15^2*0.25,-1)</f>
        <v>7140</v>
      </c>
      <c r="E52" s="10" t="s">
        <v>56</v>
      </c>
      <c r="F52" s="13"/>
    </row>
    <row r="53" spans="2:16" ht="15.6">
      <c r="B53" s="8" t="s">
        <v>57</v>
      </c>
      <c r="C53" s="5" t="s">
        <v>58</v>
      </c>
      <c r="D53" s="70">
        <f>IF(0.85-0.0015*($D$23)&lt;0.67,0.67,0.85-0.0015*($D$23))</f>
        <v>0.77500000000000002</v>
      </c>
      <c r="F53" s="11" t="s">
        <v>59</v>
      </c>
      <c r="H53" s="133" t="s">
        <v>308</v>
      </c>
      <c r="I53" s="134" t="s">
        <v>309</v>
      </c>
      <c r="J53" s="135">
        <f>D8-((H27*I27)+(H28*I28)+(H29*I29)+(H30*I30)+(H31*I31))/(SUM(H27:H31))</f>
        <v>1416</v>
      </c>
      <c r="K53" s="135" t="s">
        <v>2</v>
      </c>
      <c r="L53" s="7"/>
    </row>
    <row r="54" spans="2:16" ht="15.6">
      <c r="B54" s="8" t="s">
        <v>60</v>
      </c>
      <c r="C54" s="18" t="s">
        <v>61</v>
      </c>
      <c r="D54" s="70">
        <f>IF(0.97-0.0025*($D$23)&lt;0.67,0.67,0.97-0.0025*($D$23))</f>
        <v>0.84499999999999997</v>
      </c>
      <c r="F54" s="11" t="s">
        <v>59</v>
      </c>
      <c r="H54" s="8" t="s">
        <v>298</v>
      </c>
      <c r="I54" s="108" t="s">
        <v>306</v>
      </c>
      <c r="J54" s="71">
        <f>J84-D86</f>
        <v>-1.5897967386990786E-9</v>
      </c>
      <c r="K54" s="70" t="s">
        <v>46</v>
      </c>
      <c r="L54" s="13"/>
    </row>
    <row r="55" spans="2:16" ht="15.6">
      <c r="B55" s="8" t="s">
        <v>294</v>
      </c>
      <c r="C55" s="5" t="s">
        <v>237</v>
      </c>
      <c r="D55" s="156">
        <v>124.67545595207751</v>
      </c>
      <c r="E55" s="136" t="s">
        <v>2</v>
      </c>
      <c r="F55" s="11"/>
      <c r="H55" s="8" t="s">
        <v>62</v>
      </c>
      <c r="I55" s="108" t="s">
        <v>299</v>
      </c>
      <c r="J55" s="110">
        <f>D55/D50</f>
        <v>9.0970781431650868E-2</v>
      </c>
      <c r="K55" s="70"/>
      <c r="L55" s="13"/>
    </row>
    <row r="56" spans="2:16" ht="15.6">
      <c r="B56" s="8" t="s">
        <v>65</v>
      </c>
      <c r="C56" s="5" t="s">
        <v>66</v>
      </c>
      <c r="D56" s="71">
        <f>0.2*((D8/D50)^2)*0.6*SQRT(D23)/D24*D9*D50</f>
        <v>2786.1193859229161</v>
      </c>
      <c r="E56" s="10" t="s">
        <v>56</v>
      </c>
      <c r="F56" s="11" t="s">
        <v>67</v>
      </c>
      <c r="H56" s="8" t="s">
        <v>63</v>
      </c>
      <c r="I56" s="5"/>
      <c r="J56" s="150" t="str">
        <f>IF(J55&gt;0.36,"Check ku","ku OK")</f>
        <v>ku OK</v>
      </c>
      <c r="K56" s="69"/>
      <c r="L56" s="11" t="s">
        <v>64</v>
      </c>
    </row>
    <row r="57" spans="2:16" ht="15.6">
      <c r="B57" s="8" t="s">
        <v>68</v>
      </c>
      <c r="C57" s="5"/>
      <c r="D57" s="57" t="str">
        <f>IF(D51&gt;D56,"Pass","Fail")</f>
        <v>Pass</v>
      </c>
      <c r="E57" t="s">
        <v>69</v>
      </c>
      <c r="F57" s="11" t="s">
        <v>317</v>
      </c>
      <c r="H57" s="8" t="s">
        <v>300</v>
      </c>
      <c r="I57" s="108" t="s">
        <v>301</v>
      </c>
      <c r="J57" s="118">
        <f>((J78*1000*(D8-I34)+J79*1000*(D8-I35)+J80*1000*(D8-I36)+J81*1000*(D8-I37)+J82*1000*(D8-I38))-(D84*1000*D54*D55*0.5)-(D78*1000*I27+D79*1000*I28+D80*1000*I29+D81*1000*I30+D82*1000*I31))*10^-6</f>
        <v>9452.9278100624288</v>
      </c>
      <c r="K57" s="70" t="s">
        <v>192</v>
      </c>
      <c r="L57" s="13"/>
    </row>
    <row r="58" spans="2:16" ht="15.6">
      <c r="B58" s="8" t="s">
        <v>68</v>
      </c>
      <c r="C58" s="5"/>
      <c r="D58" s="57" t="str">
        <f>IF(D51&gt;J138,"Pass","Fail")</f>
        <v>Pass</v>
      </c>
      <c r="E58" t="s">
        <v>69</v>
      </c>
      <c r="F58" s="11" t="s">
        <v>318</v>
      </c>
      <c r="H58" s="8" t="s">
        <v>303</v>
      </c>
      <c r="I58" s="108" t="s">
        <v>302</v>
      </c>
      <c r="J58" s="118">
        <f>1.2*(D9*(D8^2)/6)*(0.6*SQRT(D23))/1000000</f>
        <v>1909.188309203678</v>
      </c>
      <c r="K58" s="70" t="s">
        <v>192</v>
      </c>
      <c r="L58" s="13"/>
    </row>
    <row r="59" spans="2:16" ht="15.6">
      <c r="B59" s="8" t="s">
        <v>239</v>
      </c>
      <c r="C59" s="5" t="s">
        <v>292</v>
      </c>
      <c r="D59" s="136">
        <v>3.0000000000000001E-3</v>
      </c>
      <c r="E59" s="136" t="s">
        <v>197</v>
      </c>
      <c r="F59" s="13"/>
      <c r="H59" s="8" t="s">
        <v>304</v>
      </c>
      <c r="I59" s="108" t="s">
        <v>305</v>
      </c>
      <c r="J59" s="118">
        <f>J57*D30</f>
        <v>7562.342248049943</v>
      </c>
      <c r="K59" s="70" t="s">
        <v>192</v>
      </c>
      <c r="L59" s="13"/>
    </row>
    <row r="60" spans="2:16" ht="16.2" thickBot="1">
      <c r="B60" s="38" t="s">
        <v>238</v>
      </c>
      <c r="C60" s="39" t="s">
        <v>293</v>
      </c>
      <c r="D60" s="157">
        <v>2.5000000000000001E-3</v>
      </c>
      <c r="E60" s="157" t="s">
        <v>197</v>
      </c>
      <c r="F60" s="47"/>
      <c r="H60" s="38" t="s">
        <v>71</v>
      </c>
      <c r="I60" s="39"/>
      <c r="J60" s="59" t="str">
        <f>IF(J59&gt;D33,"Pass","Fail")</f>
        <v>Pass</v>
      </c>
      <c r="K60" s="40"/>
      <c r="L60" s="43" t="s">
        <v>52</v>
      </c>
      <c r="P60" s="42"/>
    </row>
    <row r="61" spans="2:16" ht="15" thickBot="1"/>
    <row r="62" spans="2:16" ht="15.6">
      <c r="B62" s="37" t="s">
        <v>240</v>
      </c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2:16">
      <c r="B63" s="127"/>
      <c r="L63" s="13"/>
    </row>
    <row r="64" spans="2:16">
      <c r="B64" s="137" t="s">
        <v>235</v>
      </c>
      <c r="C64" s="132"/>
      <c r="D64" s="138"/>
      <c r="E64" s="139"/>
      <c r="F64" s="130"/>
      <c r="G64" s="130"/>
      <c r="H64" s="129" t="s">
        <v>236</v>
      </c>
      <c r="I64" s="132"/>
      <c r="J64" s="138"/>
      <c r="K64" s="139"/>
      <c r="L64" s="146"/>
    </row>
    <row r="65" spans="2:15" ht="15.6">
      <c r="B65" s="140"/>
      <c r="C65" s="130"/>
      <c r="D65" s="141"/>
      <c r="H65" s="130"/>
      <c r="I65" s="130"/>
      <c r="J65" s="141"/>
      <c r="L65" s="146"/>
    </row>
    <row r="66" spans="2:15" ht="15.6">
      <c r="B66" s="8" t="s">
        <v>241</v>
      </c>
      <c r="C66" s="5" t="s">
        <v>282</v>
      </c>
      <c r="D66" s="142">
        <f>IF(I27=0,0,$D$59*($D$55-I27)/$D$55)</f>
        <v>9.7875212827083454E-4</v>
      </c>
      <c r="E66" s="136" t="s">
        <v>197</v>
      </c>
      <c r="H66" s="5" t="s">
        <v>261</v>
      </c>
      <c r="I66" s="5" t="s">
        <v>282</v>
      </c>
      <c r="J66" s="10">
        <f>IF(I34=0,0,$D$59*($D$8-I34-$D$55)/$D$55)</f>
        <v>3.0711527003482869E-2</v>
      </c>
      <c r="K66" s="136" t="s">
        <v>197</v>
      </c>
      <c r="L66" s="146"/>
      <c r="M66" s="130"/>
      <c r="N66" s="131"/>
      <c r="O66" s="130"/>
    </row>
    <row r="67" spans="2:15" ht="15.6">
      <c r="B67" s="8" t="s">
        <v>242</v>
      </c>
      <c r="C67" s="5" t="s">
        <v>283</v>
      </c>
      <c r="D67" s="142">
        <f>IF(I28=0,0,$D$59*($D$55-I28)/$D$55)</f>
        <v>0</v>
      </c>
      <c r="E67" s="136" t="s">
        <v>197</v>
      </c>
      <c r="H67" s="5" t="s">
        <v>262</v>
      </c>
      <c r="I67" s="5" t="s">
        <v>283</v>
      </c>
      <c r="J67" s="10">
        <f>IF(I35=0,0,$D$59*($D$8-I35-$D$55)/$D$55)</f>
        <v>2.924371604901288E-2</v>
      </c>
      <c r="K67" s="136" t="s">
        <v>197</v>
      </c>
      <c r="L67" s="146"/>
      <c r="M67" s="130"/>
      <c r="N67" s="131"/>
      <c r="O67" s="130"/>
    </row>
    <row r="68" spans="2:15" ht="15.6">
      <c r="B68" s="8" t="s">
        <v>243</v>
      </c>
      <c r="C68" s="5" t="s">
        <v>284</v>
      </c>
      <c r="D68" s="142">
        <f>IF(I29=0,0,$D$59*($D$55-I29)/$D$55)</f>
        <v>0</v>
      </c>
      <c r="E68" s="136" t="s">
        <v>197</v>
      </c>
      <c r="H68" s="5" t="s">
        <v>263</v>
      </c>
      <c r="I68" s="5" t="s">
        <v>284</v>
      </c>
      <c r="J68" s="10">
        <f>IF(I36=0,0,$D$59*($D$8-I36-$D$55)/$D$55)</f>
        <v>0</v>
      </c>
      <c r="K68" s="136" t="s">
        <v>197</v>
      </c>
      <c r="L68" s="13"/>
      <c r="M68" s="130"/>
      <c r="N68" s="131"/>
      <c r="O68" s="130"/>
    </row>
    <row r="69" spans="2:15" ht="15.6">
      <c r="B69" s="8" t="s">
        <v>244</v>
      </c>
      <c r="C69" s="5" t="s">
        <v>285</v>
      </c>
      <c r="D69" s="142">
        <f>IF(I30=0,0,$D$59*($D$55-I30)/$D$55)</f>
        <v>0</v>
      </c>
      <c r="E69" s="136" t="s">
        <v>197</v>
      </c>
      <c r="H69" s="5" t="s">
        <v>264</v>
      </c>
      <c r="I69" s="5" t="s">
        <v>285</v>
      </c>
      <c r="J69" s="10">
        <f>IF(I37=0,0,$D$59*($D$8-I37-$D$55)/$D$55)</f>
        <v>0</v>
      </c>
      <c r="K69" s="136" t="s">
        <v>197</v>
      </c>
      <c r="L69" s="13"/>
    </row>
    <row r="70" spans="2:15" ht="15.6">
      <c r="B70" s="8" t="s">
        <v>245</v>
      </c>
      <c r="C70" s="5" t="s">
        <v>286</v>
      </c>
      <c r="D70" s="142">
        <f>IF(I31=0,0,$D$59*($D$55-I31)/$D$55)</f>
        <v>0</v>
      </c>
      <c r="E70" s="136" t="s">
        <v>197</v>
      </c>
      <c r="H70" s="5" t="s">
        <v>265</v>
      </c>
      <c r="I70" s="5" t="s">
        <v>286</v>
      </c>
      <c r="J70" s="10">
        <f>IF(I38=0,0,$D$59*($D$8-I38-$D$55)/$D$55)</f>
        <v>0</v>
      </c>
      <c r="K70" s="136" t="s">
        <v>197</v>
      </c>
      <c r="L70" s="13"/>
    </row>
    <row r="71" spans="2:15" ht="15.6">
      <c r="B71" s="143"/>
      <c r="C71" s="136"/>
      <c r="D71" s="136"/>
      <c r="E71" s="136"/>
      <c r="H71" s="70"/>
      <c r="I71" s="136"/>
      <c r="J71" s="136"/>
      <c r="K71" s="136"/>
      <c r="L71" s="13"/>
    </row>
    <row r="72" spans="2:15" ht="15" customHeight="1">
      <c r="B72" s="144" t="s">
        <v>246</v>
      </c>
      <c r="C72" s="18" t="s">
        <v>287</v>
      </c>
      <c r="D72" s="149">
        <f>MIN(D66*$D$27,D24)</f>
        <v>195.75042565416692</v>
      </c>
      <c r="E72" s="136" t="s">
        <v>25</v>
      </c>
      <c r="H72" s="108" t="s">
        <v>266</v>
      </c>
      <c r="I72" s="18" t="s">
        <v>287</v>
      </c>
      <c r="J72" s="149">
        <f>MIN(J66*$D$27,D25)</f>
        <v>500</v>
      </c>
      <c r="K72" s="136" t="s">
        <v>25</v>
      </c>
      <c r="L72" s="13"/>
    </row>
    <row r="73" spans="2:15" ht="18.600000000000001">
      <c r="B73" s="144" t="s">
        <v>247</v>
      </c>
      <c r="C73" s="18" t="s">
        <v>288</v>
      </c>
      <c r="D73" s="149">
        <f>MIN(D67*$D$27,D25)</f>
        <v>0</v>
      </c>
      <c r="E73" s="136" t="s">
        <v>25</v>
      </c>
      <c r="H73" s="108" t="s">
        <v>267</v>
      </c>
      <c r="I73" s="18" t="s">
        <v>288</v>
      </c>
      <c r="J73" s="149">
        <f>MIN(J67*$D$27,D26)</f>
        <v>500</v>
      </c>
      <c r="K73" s="136" t="s">
        <v>25</v>
      </c>
      <c r="L73" s="13"/>
    </row>
    <row r="74" spans="2:15" ht="15" customHeight="1">
      <c r="B74" s="144" t="s">
        <v>248</v>
      </c>
      <c r="C74" s="18" t="s">
        <v>289</v>
      </c>
      <c r="D74" s="149">
        <f>MIN(D68*$D$27,D26)</f>
        <v>0</v>
      </c>
      <c r="E74" s="136" t="s">
        <v>25</v>
      </c>
      <c r="H74" s="108" t="s">
        <v>268</v>
      </c>
      <c r="I74" s="18" t="s">
        <v>289</v>
      </c>
      <c r="J74" s="149">
        <f>MIN(J68*$D$27,D27)</f>
        <v>0</v>
      </c>
      <c r="K74" s="136" t="s">
        <v>25</v>
      </c>
      <c r="L74" s="13"/>
    </row>
    <row r="75" spans="2:15" ht="15.75" customHeight="1">
      <c r="B75" s="144" t="s">
        <v>249</v>
      </c>
      <c r="C75" s="18" t="s">
        <v>290</v>
      </c>
      <c r="D75" s="149">
        <f>MIN(D69*$D$27,D27)</f>
        <v>0</v>
      </c>
      <c r="E75" s="136" t="s">
        <v>25</v>
      </c>
      <c r="H75" s="108" t="s">
        <v>269</v>
      </c>
      <c r="I75" s="18" t="s">
        <v>290</v>
      </c>
      <c r="J75" s="149">
        <f>MIN(J69*$D$27,D28)</f>
        <v>0</v>
      </c>
      <c r="K75" s="136" t="s">
        <v>25</v>
      </c>
      <c r="L75" s="13"/>
    </row>
    <row r="76" spans="2:15" ht="15" customHeight="1">
      <c r="B76" s="144" t="s">
        <v>250</v>
      </c>
      <c r="C76" s="18" t="s">
        <v>291</v>
      </c>
      <c r="D76" s="149">
        <f>MIN(D70*$D$27,D28)</f>
        <v>0</v>
      </c>
      <c r="E76" s="136" t="s">
        <v>25</v>
      </c>
      <c r="H76" s="108" t="s">
        <v>270</v>
      </c>
      <c r="I76" s="18" t="s">
        <v>291</v>
      </c>
      <c r="J76" s="149">
        <f>MIN(J70*$D$27,D29)</f>
        <v>0</v>
      </c>
      <c r="K76" s="136" t="s">
        <v>25</v>
      </c>
      <c r="L76" s="13"/>
    </row>
    <row r="77" spans="2:15" ht="15.6">
      <c r="B77" s="145"/>
      <c r="C77" s="136"/>
      <c r="D77" s="149"/>
      <c r="E77" s="136"/>
      <c r="H77" s="70"/>
      <c r="I77" s="136"/>
      <c r="J77" s="149"/>
      <c r="K77" s="136"/>
      <c r="L77" s="13"/>
    </row>
    <row r="78" spans="2:15" ht="15.6">
      <c r="B78" s="144" t="s">
        <v>251</v>
      </c>
      <c r="C78" s="5" t="s">
        <v>256</v>
      </c>
      <c r="D78" s="149">
        <f>H27*ROUND(PI()*$D$15^2*0.25,-1)*D72*10^-3</f>
        <v>1397.6580391707519</v>
      </c>
      <c r="E78" s="136" t="s">
        <v>46</v>
      </c>
      <c r="H78" s="108" t="s">
        <v>271</v>
      </c>
      <c r="I78" s="5" t="s">
        <v>256</v>
      </c>
      <c r="J78" s="149">
        <f>H34*ROUND(PI()*$D$16^2*0.25,-1)*J72*10^-3</f>
        <v>3570</v>
      </c>
      <c r="K78" s="136" t="s">
        <v>46</v>
      </c>
      <c r="L78" s="13"/>
    </row>
    <row r="79" spans="2:15" ht="15.6">
      <c r="B79" s="144" t="s">
        <v>252</v>
      </c>
      <c r="C79" s="5" t="s">
        <v>257</v>
      </c>
      <c r="D79" s="149">
        <f>H28*ROUND(PI()*$D$15^2*0.25,-1)*D73*10^-3</f>
        <v>0</v>
      </c>
      <c r="E79" s="136" t="s">
        <v>46</v>
      </c>
      <c r="H79" s="108" t="s">
        <v>272</v>
      </c>
      <c r="I79" s="5" t="s">
        <v>257</v>
      </c>
      <c r="J79" s="149">
        <f>H35*ROUND(PI()*$D$16^2*0.25,-1)*J73*10^-3</f>
        <v>3570</v>
      </c>
      <c r="K79" s="136" t="s">
        <v>46</v>
      </c>
      <c r="L79" s="13"/>
    </row>
    <row r="80" spans="2:15" ht="15.6">
      <c r="B80" s="144" t="s">
        <v>253</v>
      </c>
      <c r="C80" s="5" t="s">
        <v>258</v>
      </c>
      <c r="D80" s="149">
        <f>H29*ROUND(PI()*$D$15^2*0.25,-1)*D74*10^-3</f>
        <v>0</v>
      </c>
      <c r="E80" s="136" t="s">
        <v>46</v>
      </c>
      <c r="H80" s="108" t="s">
        <v>273</v>
      </c>
      <c r="I80" s="5" t="s">
        <v>258</v>
      </c>
      <c r="J80" s="149">
        <f>H36*ROUND(PI()*$D$16^2*0.25,-1)*J74*10^-3</f>
        <v>0</v>
      </c>
      <c r="K80" s="136" t="s">
        <v>46</v>
      </c>
      <c r="L80" s="13"/>
    </row>
    <row r="81" spans="2:12" ht="15.6">
      <c r="B81" s="144" t="s">
        <v>254</v>
      </c>
      <c r="C81" s="5" t="s">
        <v>259</v>
      </c>
      <c r="D81" s="149">
        <f>H30*ROUND(PI()*$D$15^2*0.25,-1)*D75*10^-3</f>
        <v>0</v>
      </c>
      <c r="E81" s="136" t="s">
        <v>46</v>
      </c>
      <c r="H81" s="108" t="s">
        <v>274</v>
      </c>
      <c r="I81" s="5" t="s">
        <v>259</v>
      </c>
      <c r="J81" s="149">
        <f>H37*ROUND(PI()*$D$16^2*0.25,-1)*J75*10^-3</f>
        <v>0</v>
      </c>
      <c r="K81" s="136" t="s">
        <v>46</v>
      </c>
      <c r="L81" s="13"/>
    </row>
    <row r="82" spans="2:12" ht="15.6">
      <c r="B82" s="144" t="s">
        <v>255</v>
      </c>
      <c r="C82" s="5" t="s">
        <v>260</v>
      </c>
      <c r="D82" s="149">
        <f>H31*ROUND(PI()*$D$15^2*0.25,-1)*D76*10^-3</f>
        <v>0</v>
      </c>
      <c r="E82" s="136" t="s">
        <v>46</v>
      </c>
      <c r="H82" s="108" t="s">
        <v>275</v>
      </c>
      <c r="I82" s="5" t="s">
        <v>260</v>
      </c>
      <c r="J82" s="149">
        <f>H38*ROUND(PI()*$D$16^2*0.25,-1)*J76*10^-3</f>
        <v>0</v>
      </c>
      <c r="K82" s="136" t="s">
        <v>46</v>
      </c>
      <c r="L82" s="13"/>
    </row>
    <row r="83" spans="2:12" ht="15.6">
      <c r="B83" s="143"/>
      <c r="C83" s="136"/>
      <c r="D83" s="149"/>
      <c r="E83" s="136"/>
      <c r="H83" s="70"/>
      <c r="I83" s="136"/>
      <c r="J83" s="136"/>
      <c r="K83" s="136"/>
      <c r="L83" s="13"/>
    </row>
    <row r="84" spans="2:12" ht="15.6">
      <c r="B84" s="144" t="s">
        <v>276</v>
      </c>
      <c r="C84" s="5" t="s">
        <v>277</v>
      </c>
      <c r="D84" s="149">
        <f>D53*D54*D23*D9*D55*10^-3</f>
        <v>4082.3419608308382</v>
      </c>
      <c r="E84" s="136" t="s">
        <v>46</v>
      </c>
      <c r="H84" s="5" t="s">
        <v>280</v>
      </c>
      <c r="I84" s="5" t="s">
        <v>281</v>
      </c>
      <c r="J84" s="72">
        <f>SUM(J78:J82)-D35/2</f>
        <v>6310</v>
      </c>
      <c r="K84" s="10" t="s">
        <v>46</v>
      </c>
      <c r="L84" s="13"/>
    </row>
    <row r="85" spans="2:12" ht="15.6">
      <c r="B85" s="143"/>
      <c r="C85" s="136"/>
      <c r="D85" s="136"/>
      <c r="E85" s="136"/>
      <c r="L85" s="13"/>
    </row>
    <row r="86" spans="2:12" ht="15.6">
      <c r="B86" s="8" t="s">
        <v>278</v>
      </c>
      <c r="C86" s="5" t="s">
        <v>279</v>
      </c>
      <c r="D86" s="72">
        <f>D84+SUM(D78:D82)+D35/2</f>
        <v>6310.0000000015898</v>
      </c>
      <c r="E86" s="10" t="s">
        <v>46</v>
      </c>
      <c r="L86" s="13"/>
    </row>
    <row r="87" spans="2:12" ht="15" thickBot="1">
      <c r="B87" s="128"/>
      <c r="C87" s="46"/>
      <c r="D87" s="46"/>
      <c r="E87" s="46"/>
      <c r="F87" s="46"/>
      <c r="G87" s="46"/>
      <c r="H87" s="46"/>
      <c r="I87" s="46"/>
      <c r="J87" s="46"/>
      <c r="K87" s="46"/>
      <c r="L87" s="47"/>
    </row>
    <row r="88" spans="2:12" ht="15" thickBot="1"/>
    <row r="89" spans="2:12" ht="18.600000000000001" thickBot="1">
      <c r="B89" s="1" t="s">
        <v>92</v>
      </c>
      <c r="C89" s="2"/>
      <c r="L89" s="19"/>
    </row>
    <row r="90" spans="2:12" ht="15" thickBot="1"/>
    <row r="91" spans="2:12" ht="15.6">
      <c r="B91" s="37" t="s">
        <v>99</v>
      </c>
      <c r="C91" s="6"/>
      <c r="D91" s="6"/>
      <c r="E91" s="6"/>
      <c r="F91" s="7"/>
    </row>
    <row r="92" spans="2:12">
      <c r="B92" s="44" t="s">
        <v>100</v>
      </c>
      <c r="F92" s="13"/>
    </row>
    <row r="93" spans="2:12" ht="15" thickBot="1">
      <c r="B93" s="122" t="s">
        <v>109</v>
      </c>
      <c r="C93" s="46"/>
      <c r="D93" s="46"/>
      <c r="E93" s="46"/>
      <c r="F93" s="47"/>
    </row>
    <row r="94" spans="2:12" ht="15" thickBot="1"/>
    <row r="95" spans="2:12" ht="15.75" customHeight="1">
      <c r="B95" s="37" t="s">
        <v>172</v>
      </c>
      <c r="C95" s="21"/>
      <c r="D95" s="21"/>
      <c r="E95" s="21"/>
      <c r="F95" s="22"/>
      <c r="H95" s="37" t="s">
        <v>173</v>
      </c>
      <c r="I95" s="21"/>
      <c r="J95" s="21"/>
      <c r="K95" s="21"/>
      <c r="L95" s="22"/>
    </row>
    <row r="96" spans="2:12" ht="15.75" customHeight="1">
      <c r="B96" s="8" t="s">
        <v>125</v>
      </c>
      <c r="C96" s="5" t="s">
        <v>114</v>
      </c>
      <c r="D96" s="10">
        <f>'PC-B1-3_DDR'!D8*'PC-B1-3_DDR'!D9</f>
        <v>1500000</v>
      </c>
      <c r="E96" s="10" t="s">
        <v>56</v>
      </c>
      <c r="F96" s="11" t="s">
        <v>93</v>
      </c>
      <c r="H96" s="8" t="s">
        <v>125</v>
      </c>
      <c r="I96" s="5" t="s">
        <v>114</v>
      </c>
      <c r="J96" s="10">
        <f>'PC-B1-3_DDR'!D8*'PC-B1-3_DDR'!D9</f>
        <v>1500000</v>
      </c>
      <c r="K96" s="10" t="s">
        <v>56</v>
      </c>
      <c r="L96" s="11" t="s">
        <v>93</v>
      </c>
    </row>
    <row r="97" spans="2:12" ht="15.6">
      <c r="B97" s="8" t="s">
        <v>126</v>
      </c>
      <c r="C97" s="5" t="s">
        <v>115</v>
      </c>
      <c r="D97" s="10">
        <f>2*'PC-B1-3_DDR'!D8+2*'PC-B1-3_DDR'!D9</f>
        <v>5000</v>
      </c>
      <c r="E97" s="10" t="s">
        <v>2</v>
      </c>
      <c r="F97" s="11" t="s">
        <v>93</v>
      </c>
      <c r="H97" s="8" t="s">
        <v>126</v>
      </c>
      <c r="I97" s="5" t="s">
        <v>115</v>
      </c>
      <c r="J97" s="10">
        <f>2*'PC-B1-3_DDR'!D8+2*'PC-B1-3_DDR'!D9</f>
        <v>5000</v>
      </c>
      <c r="K97" s="10" t="s">
        <v>2</v>
      </c>
      <c r="L97" s="11" t="s">
        <v>93</v>
      </c>
    </row>
    <row r="98" spans="2:12" ht="15.6">
      <c r="B98" s="8" t="s">
        <v>94</v>
      </c>
      <c r="C98" s="5" t="s">
        <v>116</v>
      </c>
      <c r="D98" s="60">
        <f>0.33*SQRT('PC-B1-3_DDR'!D23)*((D96^2)/(D97))*SQRT(1)*10^-6</f>
        <v>1050.053570062023</v>
      </c>
      <c r="E98" s="50" t="s">
        <v>40</v>
      </c>
      <c r="F98" s="11" t="s">
        <v>93</v>
      </c>
      <c r="H98" s="8" t="s">
        <v>94</v>
      </c>
      <c r="I98" s="5" t="s">
        <v>116</v>
      </c>
      <c r="J98" s="60">
        <f>0.33*SQRT('PC-B1-3_DDR'!D23)*((J96^2)/(J97))*SQRT(1)*10^-6</f>
        <v>1050.053570062023</v>
      </c>
      <c r="K98" s="50" t="s">
        <v>40</v>
      </c>
      <c r="L98" s="11" t="s">
        <v>93</v>
      </c>
    </row>
    <row r="99" spans="2:12" ht="15.6">
      <c r="B99" s="8" t="s">
        <v>95</v>
      </c>
      <c r="C99" s="5"/>
      <c r="D99" s="57" t="str">
        <f>IF(0.25*'PC-B1-3_DDR'!D31*D98&gt;'PC-B1-3_DDR'!D37,"Pass","Fail")</f>
        <v>Fail</v>
      </c>
      <c r="E99" s="51"/>
      <c r="F99" s="11" t="s">
        <v>96</v>
      </c>
      <c r="H99" s="8" t="s">
        <v>95</v>
      </c>
      <c r="I99" s="5"/>
      <c r="J99" s="57" t="str">
        <f>IF(0.25*'PC-B1-3_DDR'!D31*J98&gt;'PC-B1-3_DDR'!D37,"Pass","Fail")</f>
        <v>Fail</v>
      </c>
      <c r="K99" s="51"/>
      <c r="L99" s="11" t="s">
        <v>96</v>
      </c>
    </row>
    <row r="100" spans="2:12" ht="15.6">
      <c r="B100" s="8" t="s">
        <v>101</v>
      </c>
      <c r="C100" s="5" t="s">
        <v>117</v>
      </c>
      <c r="D100" s="60">
        <f>ROUND(PI()*'PC-B1-3_DDR'!D21^2/4,-1)*2</f>
        <v>400</v>
      </c>
      <c r="E100" s="10" t="s">
        <v>56</v>
      </c>
      <c r="F100" s="11" t="s">
        <v>108</v>
      </c>
      <c r="H100" s="8" t="s">
        <v>101</v>
      </c>
      <c r="I100" s="5" t="s">
        <v>117</v>
      </c>
      <c r="J100" s="60">
        <f>ROUND(PI()*'PC-B1-3_DDR'!D21^2/4,-1)*2</f>
        <v>400</v>
      </c>
      <c r="K100" s="10" t="s">
        <v>56</v>
      </c>
      <c r="L100" s="11" t="s">
        <v>108</v>
      </c>
    </row>
    <row r="101" spans="2:12" ht="15.6">
      <c r="B101" s="8" t="s">
        <v>107</v>
      </c>
      <c r="C101" s="5" t="s">
        <v>118</v>
      </c>
      <c r="D101" s="49">
        <f>MAX('PC-B1-3_DDR'!D8:D9)-'PC-B1-3_DDR'!D13-'PC-B1-3_DDR'!D14-'PC-B1-3_DDR'!D21</f>
        <v>1369</v>
      </c>
      <c r="E101" s="10" t="s">
        <v>2</v>
      </c>
      <c r="F101" s="11" t="s">
        <v>108</v>
      </c>
      <c r="H101" s="8" t="s">
        <v>107</v>
      </c>
      <c r="I101" s="5" t="s">
        <v>118</v>
      </c>
      <c r="J101" s="49">
        <f>MAX('PC-B1-3_DDR'!D8:D9)-'PC-B1-3_DDR'!D13-'PC-B1-3_DDR'!D14-'PC-B1-3_DDR'!D21</f>
        <v>1369</v>
      </c>
      <c r="K101" s="10" t="s">
        <v>2</v>
      </c>
      <c r="L101" s="11" t="s">
        <v>108</v>
      </c>
    </row>
    <row r="102" spans="2:12" ht="15.6">
      <c r="B102" s="8" t="s">
        <v>79</v>
      </c>
      <c r="C102" s="15" t="s">
        <v>80</v>
      </c>
      <c r="D102" s="60">
        <f>IF(D149="Simplified Method",36,D159)</f>
        <v>42.837846588432782</v>
      </c>
      <c r="E102" s="10" t="s">
        <v>81</v>
      </c>
      <c r="F102" s="11" t="s">
        <v>122</v>
      </c>
      <c r="H102" s="8" t="s">
        <v>79</v>
      </c>
      <c r="I102" s="15" t="s">
        <v>80</v>
      </c>
      <c r="J102" s="60">
        <f>IF(J149="Simplified Method",36,J159)</f>
        <v>35.965139286624762</v>
      </c>
      <c r="K102" s="10" t="s">
        <v>81</v>
      </c>
      <c r="L102" s="11" t="s">
        <v>122</v>
      </c>
    </row>
    <row r="103" spans="2:12" ht="30">
      <c r="B103" s="63" t="s">
        <v>110</v>
      </c>
      <c r="C103" s="64" t="s">
        <v>111</v>
      </c>
      <c r="D103" s="64">
        <f>D101*(MIN('PC-B1-3_DDR'!D8:D9)-'PC-B1-3_DDR'!D13-'PC-B1-3_DDR'!D14-'PC-B1-3_DDR'!D18)</f>
        <v>1189661</v>
      </c>
      <c r="E103" s="65" t="s">
        <v>56</v>
      </c>
      <c r="F103" s="66" t="s">
        <v>119</v>
      </c>
      <c r="H103" s="63" t="s">
        <v>110</v>
      </c>
      <c r="I103" s="64" t="s">
        <v>111</v>
      </c>
      <c r="J103" s="64">
        <f>J101*(MIN('PC-B1-3_DDR'!D8:D9)-'PC-B1-3_DDR'!D13-'PC-B1-3_DDR'!D14-'PC-B1-3_DDR'!D18)</f>
        <v>1189661</v>
      </c>
      <c r="K103" s="65" t="s">
        <v>56</v>
      </c>
      <c r="L103" s="66" t="s">
        <v>119</v>
      </c>
    </row>
    <row r="104" spans="2:12" ht="15.6">
      <c r="B104" s="8" t="s">
        <v>112</v>
      </c>
      <c r="C104" s="5" t="s">
        <v>113</v>
      </c>
      <c r="D104" s="60">
        <f>2*D103*((D100*'PC-B1-3_DDR'!D26)/'PC-B1-3_DDR'!D19)*_xlfn.COT(RADIANS(D102))*10^-6</f>
        <v>2566.0319556969871</v>
      </c>
      <c r="E104" s="10" t="s">
        <v>40</v>
      </c>
      <c r="F104" s="11" t="s">
        <v>119</v>
      </c>
      <c r="H104" s="8" t="s">
        <v>112</v>
      </c>
      <c r="I104" s="5" t="s">
        <v>113</v>
      </c>
      <c r="J104" s="60">
        <f>2*J103*((J100*'PC-B1-3_DDR'!D26)/'PC-B1-3_DDR'!D19)*_xlfn.COT(RADIANS(J102))*10^-6</f>
        <v>3279.0494454281666</v>
      </c>
      <c r="K104" s="10" t="s">
        <v>40</v>
      </c>
      <c r="L104" s="11" t="s">
        <v>119</v>
      </c>
    </row>
    <row r="105" spans="2:12" ht="16.2" thickBot="1">
      <c r="B105" s="38" t="s">
        <v>121</v>
      </c>
      <c r="C105" s="39" t="s">
        <v>52</v>
      </c>
      <c r="D105" s="59" t="str">
        <f>IF(OR(D98&lt;=D104,(D100/'PC-B1-3_DDR'!D19)&gt;=(0.2*D101/'PC-B1-3_DDR'!D26)),"Pass","Fail")</f>
        <v>Pass</v>
      </c>
      <c r="E105" s="46"/>
      <c r="F105" s="43" t="s">
        <v>108</v>
      </c>
      <c r="H105" s="38" t="s">
        <v>121</v>
      </c>
      <c r="I105" s="39" t="s">
        <v>52</v>
      </c>
      <c r="J105" s="59" t="str">
        <f>IF(OR(J98&lt;=J104,(J100/'PC-B1-3_DDR'!D19)&gt;=(0.2*J101/'PC-B1-3_DDR'!D26)),"Pass","Fail")</f>
        <v>Pass</v>
      </c>
      <c r="K105" s="46"/>
      <c r="L105" s="43" t="s">
        <v>108</v>
      </c>
    </row>
    <row r="106" spans="2:12" ht="15" thickBot="1"/>
    <row r="107" spans="2:12" ht="18.600000000000001" thickBot="1">
      <c r="B107" s="1" t="s">
        <v>98</v>
      </c>
      <c r="C107" s="2"/>
      <c r="H107" s="1" t="s">
        <v>234</v>
      </c>
      <c r="L107" s="19"/>
    </row>
    <row r="108" spans="2:12" ht="15" thickBot="1"/>
    <row r="109" spans="2:12" ht="15.6">
      <c r="B109" s="37" t="s">
        <v>99</v>
      </c>
      <c r="C109" s="6"/>
      <c r="D109" s="6"/>
      <c r="E109" s="6"/>
      <c r="F109" s="7"/>
      <c r="H109" s="125" t="s">
        <v>222</v>
      </c>
      <c r="I109" s="6"/>
      <c r="J109" s="6"/>
      <c r="K109" s="6"/>
      <c r="L109" s="7"/>
    </row>
    <row r="110" spans="2:12">
      <c r="B110" s="44" t="s">
        <v>100</v>
      </c>
      <c r="F110" s="13"/>
      <c r="H110" s="126" t="s">
        <v>223</v>
      </c>
      <c r="L110" s="13"/>
    </row>
    <row r="111" spans="2:12">
      <c r="B111" s="44" t="s">
        <v>109</v>
      </c>
      <c r="F111" s="13"/>
      <c r="H111" s="155" t="s">
        <v>323</v>
      </c>
      <c r="L111" s="13"/>
    </row>
    <row r="112" spans="2:12">
      <c r="B112" s="44" t="s">
        <v>120</v>
      </c>
      <c r="F112" s="13"/>
      <c r="H112" s="127"/>
      <c r="L112" s="13"/>
    </row>
    <row r="113" spans="2:12">
      <c r="B113" s="44" t="s">
        <v>233</v>
      </c>
      <c r="F113" s="13"/>
      <c r="H113" s="127"/>
      <c r="L113" s="13"/>
    </row>
    <row r="114" spans="2:12" ht="15" thickBot="1">
      <c r="B114" s="154" t="s">
        <v>144</v>
      </c>
      <c r="C114" s="46"/>
      <c r="D114" s="46"/>
      <c r="E114" s="46"/>
      <c r="F114" s="47"/>
      <c r="H114" s="128"/>
      <c r="I114" s="46"/>
      <c r="J114" s="46"/>
      <c r="K114" s="46"/>
      <c r="L114" s="47"/>
    </row>
    <row r="117" spans="2:12" ht="15" thickBot="1"/>
    <row r="118" spans="2:12" ht="15.6">
      <c r="B118" s="37" t="s">
        <v>172</v>
      </c>
      <c r="C118" s="21"/>
      <c r="D118" s="21"/>
      <c r="E118" s="21"/>
      <c r="F118" s="22"/>
      <c r="H118" s="37" t="s">
        <v>173</v>
      </c>
      <c r="I118" s="21"/>
      <c r="J118" s="21"/>
      <c r="K118" s="21"/>
      <c r="L118" s="22"/>
    </row>
    <row r="119" spans="2:12" ht="15.6">
      <c r="B119" s="8" t="s">
        <v>106</v>
      </c>
      <c r="C119" s="5" t="s">
        <v>105</v>
      </c>
      <c r="D119" s="49">
        <f>0.85*J103</f>
        <v>1011211.85</v>
      </c>
      <c r="E119" t="s">
        <v>56</v>
      </c>
      <c r="F119" s="11" t="s">
        <v>137</v>
      </c>
      <c r="H119" s="8" t="s">
        <v>106</v>
      </c>
      <c r="I119" s="5" t="s">
        <v>105</v>
      </c>
      <c r="J119" s="49">
        <f>0.85*D103</f>
        <v>1011211.85</v>
      </c>
      <c r="K119" t="s">
        <v>56</v>
      </c>
      <c r="L119" s="11" t="s">
        <v>137</v>
      </c>
    </row>
    <row r="120" spans="2:12" ht="15.6">
      <c r="B120" s="8" t="s">
        <v>44</v>
      </c>
      <c r="C120" s="5" t="s">
        <v>104</v>
      </c>
      <c r="D120" s="49">
        <f>SQRT(('PC-B1-3_DDR'!D36^2)+((0.9*'PC-B1-3_DDR'!D37*(D127/1000))/(2*D119*10^-6))^2)</f>
        <v>3237.9207040402875</v>
      </c>
      <c r="E120" t="s">
        <v>46</v>
      </c>
      <c r="F120" s="11"/>
      <c r="H120" s="8" t="s">
        <v>44</v>
      </c>
      <c r="I120" s="5" t="s">
        <v>320</v>
      </c>
      <c r="J120" s="49">
        <f>SQRT(('PC-B1-3_DDR'!D36^2)+((0.9*'PC-B1-3_DDR'!D37*(J127/1000))/(2*J119*10^-6))^2)</f>
        <v>3256.7768289429041</v>
      </c>
      <c r="K120" t="s">
        <v>46</v>
      </c>
      <c r="L120" s="11"/>
    </row>
    <row r="121" spans="2:12" ht="15.6">
      <c r="B121" s="8" t="s">
        <v>128</v>
      </c>
      <c r="C121" s="5" t="s">
        <v>127</v>
      </c>
      <c r="D121" s="10">
        <f>'PC-B1-3_DDR'!D9</f>
        <v>1000</v>
      </c>
      <c r="E121" s="50" t="s">
        <v>129</v>
      </c>
      <c r="F121" s="11" t="s">
        <v>130</v>
      </c>
      <c r="H121" s="8" t="s">
        <v>128</v>
      </c>
      <c r="I121" s="5" t="s">
        <v>127</v>
      </c>
      <c r="J121" s="10">
        <f>'PC-B1-3_DDR'!D9</f>
        <v>1000</v>
      </c>
      <c r="K121" s="50" t="s">
        <v>129</v>
      </c>
      <c r="L121" s="11" t="s">
        <v>130</v>
      </c>
    </row>
    <row r="122" spans="2:12" ht="15.6">
      <c r="B122" s="8" t="s">
        <v>132</v>
      </c>
      <c r="C122" s="5" t="s">
        <v>133</v>
      </c>
      <c r="D122" s="10">
        <f>MAX(0.72*'PC-B1-3_DDR'!D8,0.9*'PC-B1-3_DDR'!D11)</f>
        <v>1233.45</v>
      </c>
      <c r="E122" s="10" t="s">
        <v>2</v>
      </c>
      <c r="F122" s="11" t="s">
        <v>21</v>
      </c>
      <c r="H122" s="8" t="s">
        <v>132</v>
      </c>
      <c r="I122" s="5" t="s">
        <v>133</v>
      </c>
      <c r="J122" s="10">
        <f>MAX(0.72*'PC-B1-3_DDR'!D8,0.9*'PC-B1-3_DDR'!D11)</f>
        <v>1233.45</v>
      </c>
      <c r="K122" s="10" t="s">
        <v>2</v>
      </c>
      <c r="L122" s="11" t="s">
        <v>319</v>
      </c>
    </row>
    <row r="123" spans="2:12" ht="15.6">
      <c r="B123" s="8" t="s">
        <v>83</v>
      </c>
      <c r="C123" s="5" t="s">
        <v>84</v>
      </c>
      <c r="D123" s="49">
        <f>0.08*SQRT('PC-B1-3_DDR'!D23)*D121/'PC-B1-3_DDR'!D26*'PC-B1-3_DDR'!D19</f>
        <v>226.27416997969522</v>
      </c>
      <c r="E123" s="10" t="s">
        <v>56</v>
      </c>
      <c r="F123" s="11" t="s">
        <v>131</v>
      </c>
      <c r="H123" s="8" t="s">
        <v>83</v>
      </c>
      <c r="I123" s="5" t="s">
        <v>84</v>
      </c>
      <c r="J123" s="49">
        <f>0.08*SQRT('PC-B1-3_DDR'!D23)*J121/'PC-B1-3_DDR'!D26*'PC-B1-3_DDR'!D19</f>
        <v>226.27416997969522</v>
      </c>
      <c r="K123" s="10" t="s">
        <v>56</v>
      </c>
      <c r="L123" s="11" t="s">
        <v>131</v>
      </c>
    </row>
    <row r="124" spans="2:12" ht="15.6">
      <c r="B124" s="8" t="s">
        <v>141</v>
      </c>
      <c r="C124" s="5" t="s">
        <v>82</v>
      </c>
      <c r="D124" s="10">
        <f>(ROUND(PI()*'PC-B1-3_DDR'!D18^2/4,-1))*'PC-B1-3_DDR'!D20</f>
        <v>1200</v>
      </c>
      <c r="E124" t="s">
        <v>56</v>
      </c>
      <c r="F124" s="13"/>
      <c r="H124" s="8" t="s">
        <v>141</v>
      </c>
      <c r="I124" s="5" t="s">
        <v>82</v>
      </c>
      <c r="J124" s="10">
        <f>(ROUND(PI()*'PC-B1-3_DDR'!D18^2/4,-1))*'PC-B1-3_DDR'!D20</f>
        <v>1200</v>
      </c>
      <c r="K124" s="10" t="s">
        <v>56</v>
      </c>
      <c r="L124" s="13"/>
    </row>
    <row r="125" spans="2:12" ht="15.6">
      <c r="B125" s="8" t="s">
        <v>85</v>
      </c>
      <c r="C125" s="5" t="s">
        <v>52</v>
      </c>
      <c r="D125" s="57" t="str">
        <f>IF(D124&gt;D123,"Pass","Fail")</f>
        <v>Pass</v>
      </c>
      <c r="F125" s="14"/>
      <c r="H125" s="8" t="s">
        <v>85</v>
      </c>
      <c r="I125" s="5" t="s">
        <v>52</v>
      </c>
      <c r="J125" s="57" t="str">
        <f>IF(J124&gt;J123,"Pass","Fail")</f>
        <v>Pass</v>
      </c>
      <c r="L125" s="14"/>
    </row>
    <row r="126" spans="2:12" ht="15.6">
      <c r="B126" s="8" t="s">
        <v>75</v>
      </c>
      <c r="C126" s="5" t="s">
        <v>76</v>
      </c>
      <c r="D126" s="61">
        <f>0.55*(0.9*'PC-B1-3_DDR'!D23*D121*D122*(((_xlfn.COT(RADIANS(J102)))+0)/(1+(_xlfn.COT(RADIANS(J102)))^2)))*10^-3*IF(D125="Pass",0.75,0.7)</f>
        <v>10883.342005567696</v>
      </c>
      <c r="E126" s="50" t="s">
        <v>46</v>
      </c>
      <c r="F126" s="11" t="s">
        <v>135</v>
      </c>
      <c r="H126" s="8" t="s">
        <v>75</v>
      </c>
      <c r="I126" s="5" t="s">
        <v>76</v>
      </c>
      <c r="J126" s="61">
        <f>0.55*(0.9*'PC-B1-3_DDR'!D23*J121*J122*(((_xlfn.COT(RADIANS(D102)))+0)/(1+(_xlfn.COT(RADIANS(D102)))^2)))*10^-3*IF(J125="Pass",0.75,0.7)</f>
        <v>11415.368169852258</v>
      </c>
      <c r="K126" s="50" t="s">
        <v>46</v>
      </c>
      <c r="L126" s="11" t="s">
        <v>135</v>
      </c>
    </row>
    <row r="127" spans="2:12" ht="15.6">
      <c r="B127" s="52" t="s">
        <v>316</v>
      </c>
      <c r="C127" s="48"/>
      <c r="D127" s="62">
        <f>J101*2+(MIN('PC-B1-3_DDR'!D8:D9)-'PC-B1-3_DDR'!D14-'PC-B1-3_DDR'!D14-'PC-B1-3_DDR'!D21)*2</f>
        <v>4446</v>
      </c>
      <c r="E127" t="s">
        <v>2</v>
      </c>
      <c r="F127" s="55" t="s">
        <v>179</v>
      </c>
      <c r="H127" s="52" t="s">
        <v>322</v>
      </c>
      <c r="I127" s="33"/>
      <c r="J127" s="62">
        <f>D101*2+(MIN('PC-B1-3_DDR'!D8:D9)-'PC-B1-3_DDR'!D13-'PC-B1-3_DDR'!D14-'PC-B1-3_DDR'!D21)*2</f>
        <v>4476</v>
      </c>
      <c r="K127" s="50" t="s">
        <v>2</v>
      </c>
      <c r="L127" s="55" t="s">
        <v>179</v>
      </c>
    </row>
    <row r="128" spans="2:12" ht="15.6">
      <c r="B128" s="53"/>
      <c r="C128" s="54" t="s">
        <v>136</v>
      </c>
      <c r="D128" s="58" t="str">
        <f>IF(D126*1000/(D121*D122)&gt;=SQRT((('PC-B1-3_DDR'!D36*1000/(D121*D122))^2)+(('PC-B1-3_DDR'!D37*1000000*D127)/(1.7*J103^2))^2),"Pass","Fail")</f>
        <v>Pass</v>
      </c>
      <c r="E128" s="10"/>
      <c r="F128" s="55" t="s">
        <v>179</v>
      </c>
      <c r="H128" s="53"/>
      <c r="I128" s="54" t="s">
        <v>136</v>
      </c>
      <c r="J128" s="58" t="str">
        <f>IF(J126*1000/(J121*J122)&gt;=SQRT((('PC-B1-3_DDR'!D36*1000/(J121*J122))^2)+(('PC-B1-3_DDR'!D37*1000000*J127)/(1.7*D103^2))^2),"Pass","Fail")</f>
        <v>Pass</v>
      </c>
      <c r="K128" s="10"/>
      <c r="L128" s="55" t="s">
        <v>179</v>
      </c>
    </row>
    <row r="129" spans="2:12" ht="15.6">
      <c r="B129" s="8" t="s">
        <v>138</v>
      </c>
      <c r="C129" s="5" t="s">
        <v>139</v>
      </c>
      <c r="D129" s="56">
        <f>IF(D149="Simplified Method",0.15,D158)</f>
        <v>0.10087629114763412</v>
      </c>
      <c r="E129" s="10"/>
      <c r="F129" s="11" t="s">
        <v>140</v>
      </c>
      <c r="H129" s="8" t="s">
        <v>138</v>
      </c>
      <c r="I129" s="5" t="s">
        <v>139</v>
      </c>
      <c r="J129" s="56">
        <f>IF(J149="Simplified Method",0.15,J158)</f>
        <v>0.16047952262636048</v>
      </c>
      <c r="K129" s="10"/>
      <c r="L129" s="11" t="s">
        <v>140</v>
      </c>
    </row>
    <row r="130" spans="2:12" ht="15.6">
      <c r="B130" s="8" t="s">
        <v>77</v>
      </c>
      <c r="C130" s="5" t="s">
        <v>78</v>
      </c>
      <c r="D130" s="61">
        <f>D129*D121*D122*SQRT('PC-B1-3_DDR'!D23)*10^-3*IF(J125="Pass",0.75,0.7)</f>
        <v>659.86777718666553</v>
      </c>
      <c r="E130" s="10" t="s">
        <v>46</v>
      </c>
      <c r="F130" s="11" t="s">
        <v>142</v>
      </c>
      <c r="H130" s="8" t="s">
        <v>77</v>
      </c>
      <c r="I130" s="5" t="s">
        <v>78</v>
      </c>
      <c r="J130" s="61">
        <f>J129*J121*J122*SQRT('PC-B1-3_DDR'!D23)*10^-3*IF(J125="Pass",0.75,0.7)</f>
        <v>1049.7537595276397</v>
      </c>
      <c r="K130" s="10" t="s">
        <v>46</v>
      </c>
      <c r="L130" s="11" t="s">
        <v>142</v>
      </c>
    </row>
    <row r="131" spans="2:12" ht="15.6">
      <c r="B131" s="8" t="s">
        <v>86</v>
      </c>
      <c r="C131" s="5" t="s">
        <v>87</v>
      </c>
      <c r="D131" s="61">
        <f>((D124*'PC-B1-3_DDR'!D26*D122/'PC-B1-3_DDR'!D19)*_xlfn.COT(RADIANS(J102)))*10^-3*IF(J125="Pass",0.75,0.7)</f>
        <v>3824.7126540848985</v>
      </c>
      <c r="E131" s="10" t="s">
        <v>46</v>
      </c>
      <c r="F131" s="11" t="s">
        <v>88</v>
      </c>
      <c r="H131" s="8" t="s">
        <v>86</v>
      </c>
      <c r="I131" s="5" t="s">
        <v>87</v>
      </c>
      <c r="J131" s="61">
        <f>((J124*'PC-B1-3_DDR'!D26*J122/'PC-B1-3_DDR'!D19)*_xlfn.COT(RADIANS(D102)))*10^-3*IF(J125="Pass",0.75,0.7)</f>
        <v>2993.042665283434</v>
      </c>
      <c r="K131" s="10" t="s">
        <v>46</v>
      </c>
      <c r="L131" s="11" t="s">
        <v>88</v>
      </c>
    </row>
    <row r="132" spans="2:12" ht="15.6">
      <c r="B132" s="8" t="s">
        <v>89</v>
      </c>
      <c r="C132" s="15" t="s">
        <v>90</v>
      </c>
      <c r="D132" s="72">
        <f>(D130+D131)</f>
        <v>4484.5804312715645</v>
      </c>
      <c r="E132" s="10" t="s">
        <v>46</v>
      </c>
      <c r="F132" s="11" t="s">
        <v>91</v>
      </c>
      <c r="H132" s="8" t="s">
        <v>89</v>
      </c>
      <c r="I132" s="15" t="s">
        <v>90</v>
      </c>
      <c r="J132" s="72">
        <f>(J130+J131)</f>
        <v>4042.7964248110738</v>
      </c>
      <c r="K132" s="10" t="s">
        <v>46</v>
      </c>
      <c r="L132" s="11" t="s">
        <v>91</v>
      </c>
    </row>
    <row r="133" spans="2:12" ht="15.6">
      <c r="B133" s="8" t="s">
        <v>143</v>
      </c>
      <c r="C133" s="5" t="s">
        <v>52</v>
      </c>
      <c r="D133" s="57" t="str">
        <f>IF(D132&gt;D120,"Pass","Fail")</f>
        <v>Pass</v>
      </c>
      <c r="E133" s="10"/>
      <c r="F133" s="14"/>
      <c r="H133" s="8" t="s">
        <v>143</v>
      </c>
      <c r="I133" s="5" t="s">
        <v>52</v>
      </c>
      <c r="J133" s="57" t="str">
        <f>IF(J132&gt;J120,"Pass","Fail")</f>
        <v>Pass</v>
      </c>
      <c r="K133" s="10"/>
      <c r="L133" s="14"/>
    </row>
    <row r="134" spans="2:12" ht="15.6">
      <c r="B134" s="8" t="s">
        <v>203</v>
      </c>
      <c r="C134" s="5" t="s">
        <v>204</v>
      </c>
      <c r="D134" s="61">
        <f>0.5*(D36+D130)*_xlfn.COT(RADIANS(J102))+0.5*D37*(D127/(2*D119))*10^-3*_xlfn.COT(RADIANS(D102))</f>
        <v>1281.5850434994247</v>
      </c>
      <c r="E134" s="10" t="s">
        <v>46</v>
      </c>
      <c r="F134" s="11" t="s">
        <v>205</v>
      </c>
      <c r="H134" s="8" t="s">
        <v>203</v>
      </c>
      <c r="I134" s="5" t="s">
        <v>204</v>
      </c>
      <c r="J134" s="61">
        <f>0.5*(D36+J130)*_xlfn.COT(RADIANS(D102))+0.5*D37*(J127/(2*J119))*10^-3*_xlfn.COT(RADIANS(D102))</f>
        <v>1213.149937595422</v>
      </c>
      <c r="K134" s="10" t="s">
        <v>46</v>
      </c>
      <c r="L134" s="11" t="s">
        <v>205</v>
      </c>
    </row>
    <row r="135" spans="2:12" ht="15.6">
      <c r="B135" s="8" t="s">
        <v>206</v>
      </c>
      <c r="C135" s="5" t="s">
        <v>207</v>
      </c>
      <c r="D135" s="61">
        <f>(J55*'PC-B1-3_DDR'!D54*'PC-B1-3_DDR'!J53)+('PC-B1-3_DDR'!J53-J55*'PC-B1-3_DDR'!J53)</f>
        <v>1396.0337328913813</v>
      </c>
      <c r="E135" s="10" t="s">
        <v>2</v>
      </c>
      <c r="F135" s="11" t="s">
        <v>208</v>
      </c>
      <c r="H135" s="8" t="s">
        <v>206</v>
      </c>
      <c r="I135" s="5" t="s">
        <v>207</v>
      </c>
      <c r="J135" s="61">
        <f>('PC-B1-3_DDR'!J55*'PC-B1-3_DDR'!D54*'PC-B1-3_DDR'!D50)+('PC-B1-3_DDR'!D50-'PC-B1-3_DDR'!J55*'PC-B1-3_DDR'!D50)</f>
        <v>1351.175304327428</v>
      </c>
      <c r="K135" s="10" t="s">
        <v>2</v>
      </c>
      <c r="L135" s="11" t="s">
        <v>208</v>
      </c>
    </row>
    <row r="136" spans="2:12" ht="15.6">
      <c r="B136" s="8" t="s">
        <v>209</v>
      </c>
      <c r="C136" s="5" t="s">
        <v>210</v>
      </c>
      <c r="D136" s="61">
        <f>(D34/(D135/1000))+(-'PC-B1-3_DDR'!D35/2)+D134</f>
        <v>1726.6258666988549</v>
      </c>
      <c r="E136" s="10" t="s">
        <v>46</v>
      </c>
      <c r="F136" s="11" t="s">
        <v>211</v>
      </c>
      <c r="H136" s="8" t="s">
        <v>209</v>
      </c>
      <c r="I136" s="5" t="s">
        <v>210</v>
      </c>
      <c r="J136" s="61">
        <f>(D33/(J135/1000))+(-'PC-B1-3_DDR'!D35/2)+J134</f>
        <v>2233.3909773725813</v>
      </c>
      <c r="K136" s="10" t="s">
        <v>46</v>
      </c>
      <c r="L136" s="11" t="s">
        <v>211</v>
      </c>
    </row>
    <row r="137" spans="2:12" ht="15.6">
      <c r="B137" s="8" t="s">
        <v>212</v>
      </c>
      <c r="C137" s="5" t="s">
        <v>213</v>
      </c>
      <c r="D137" s="56">
        <f>'PC-B1-3_DDR'!D30+((0.85-'PC-B1-3_DDR'!D30)*(D136/('PC-B1-3_DDR'!D52*'PC-B1-3_DDR'!D25*10^-3)))</f>
        <v>0.82418243510782707</v>
      </c>
      <c r="E137" s="10"/>
      <c r="F137" s="11" t="s">
        <v>214</v>
      </c>
      <c r="H137" s="8" t="s">
        <v>212</v>
      </c>
      <c r="I137" s="5" t="s">
        <v>213</v>
      </c>
      <c r="J137" s="56">
        <f>'PC-B1-3_DDR'!D30+((0.85-'PC-B1-3_DDR'!D30)*(J136/('PC-B1-3_DDR'!D51*'PC-B1-3_DDR'!D25*10^-3)))</f>
        <v>0.81563999283874355</v>
      </c>
      <c r="K137" s="10"/>
      <c r="L137" s="11" t="s">
        <v>214</v>
      </c>
    </row>
    <row r="138" spans="2:12" ht="15.6">
      <c r="B138" s="8" t="s">
        <v>215</v>
      </c>
      <c r="C138" s="5" t="s">
        <v>55</v>
      </c>
      <c r="D138" s="61">
        <f>((D136*1000)/D137)/'PC-B1-3_DDR'!D24</f>
        <v>4189.9118281329593</v>
      </c>
      <c r="E138" s="10" t="s">
        <v>56</v>
      </c>
      <c r="F138" s="11" t="s">
        <v>211</v>
      </c>
      <c r="H138" s="8" t="s">
        <v>215</v>
      </c>
      <c r="I138" s="5" t="s">
        <v>55</v>
      </c>
      <c r="J138" s="61">
        <f>((J136*1000)/J137)/'PC-B1-3_DDR'!D24</f>
        <v>5476.4136064478989</v>
      </c>
      <c r="K138" s="10" t="s">
        <v>56</v>
      </c>
      <c r="L138" s="11" t="s">
        <v>211</v>
      </c>
    </row>
    <row r="139" spans="2:12" ht="15.6">
      <c r="B139" s="8" t="s">
        <v>216</v>
      </c>
      <c r="C139" s="5"/>
      <c r="D139" s="58" t="str">
        <f>IF(D138&lt;D152,"Pass","Fail")</f>
        <v>Pass</v>
      </c>
      <c r="E139" s="114"/>
      <c r="F139" s="13"/>
      <c r="H139" s="8" t="s">
        <v>216</v>
      </c>
      <c r="I139" s="5"/>
      <c r="J139" s="58" t="str">
        <f>IF(J138&lt;J152,"Pass","Fail")</f>
        <v>Pass</v>
      </c>
      <c r="K139" s="114"/>
      <c r="L139" s="13"/>
    </row>
    <row r="140" spans="2:12" ht="15.6">
      <c r="B140" s="178" t="s">
        <v>228</v>
      </c>
      <c r="C140" s="179"/>
      <c r="D140" s="179"/>
      <c r="E140" s="179"/>
      <c r="F140" s="180"/>
      <c r="H140" s="178" t="s">
        <v>228</v>
      </c>
      <c r="I140" s="179"/>
      <c r="J140" s="179"/>
      <c r="K140" s="179"/>
      <c r="L140" s="180"/>
    </row>
    <row r="141" spans="2:12" ht="15.6">
      <c r="B141" s="8" t="s">
        <v>217</v>
      </c>
      <c r="C141" s="5" t="s">
        <v>218</v>
      </c>
      <c r="D141" s="61">
        <f>(-D154/(D135/1000))+('PC-B1-3_DDR'!D35/2)+D134</f>
        <v>-749.24360146945196</v>
      </c>
      <c r="E141" s="10" t="s">
        <v>46</v>
      </c>
      <c r="F141" s="11" t="s">
        <v>219</v>
      </c>
      <c r="H141" s="8" t="s">
        <v>217</v>
      </c>
      <c r="I141" s="5" t="s">
        <v>218</v>
      </c>
      <c r="J141" s="61">
        <f>(-J154/(J135/1000))+('PC-B1-3_DDR'!D35/2)+J134</f>
        <v>-929.87019294877496</v>
      </c>
      <c r="K141" s="10" t="s">
        <v>46</v>
      </c>
      <c r="L141" s="11" t="s">
        <v>219</v>
      </c>
    </row>
    <row r="142" spans="2:12" ht="15.6">
      <c r="B142" s="8" t="s">
        <v>212</v>
      </c>
      <c r="C142" s="5" t="s">
        <v>213</v>
      </c>
      <c r="D142" s="56">
        <f>'PC-B1-3_DDR'!D30</f>
        <v>0.8</v>
      </c>
      <c r="F142" s="11" t="s">
        <v>214</v>
      </c>
      <c r="H142" s="8" t="s">
        <v>212</v>
      </c>
      <c r="I142" s="5" t="s">
        <v>213</v>
      </c>
      <c r="J142" s="56">
        <f>'PC-B1-3_DDR'!D30</f>
        <v>0.8</v>
      </c>
      <c r="L142" s="11" t="s">
        <v>214</v>
      </c>
    </row>
    <row r="143" spans="2:12" ht="15.6">
      <c r="B143" s="8" t="s">
        <v>220</v>
      </c>
      <c r="C143" s="5" t="s">
        <v>221</v>
      </c>
      <c r="D143" s="61">
        <f>(D141*1000)/D142/'PC-B1-3_DDR'!D24</f>
        <v>-1873.1090036736296</v>
      </c>
      <c r="E143" s="10" t="s">
        <v>56</v>
      </c>
      <c r="F143" s="11" t="s">
        <v>219</v>
      </c>
      <c r="H143" s="8" t="s">
        <v>220</v>
      </c>
      <c r="I143" s="5" t="s">
        <v>221</v>
      </c>
      <c r="J143" s="61">
        <f>(J141*1000)/J142/'PC-B1-3_DDR'!D24</f>
        <v>-2324.6754823719371</v>
      </c>
      <c r="K143" s="10" t="s">
        <v>56</v>
      </c>
      <c r="L143" s="11" t="s">
        <v>219</v>
      </c>
    </row>
    <row r="144" spans="2:12" ht="16.2" thickBot="1">
      <c r="B144" s="38" t="s">
        <v>216</v>
      </c>
      <c r="C144" s="39"/>
      <c r="D144" s="115" t="str">
        <f>IF(J143&lt;(SUM('PC-B1-3_DDR'!H34:H38)*(ROUND(PI()*'PC-B1-3_DDR'!D16^2*0.25,-1))),"Pass","Fail")</f>
        <v>Pass</v>
      </c>
      <c r="E144" s="116"/>
      <c r="F144" s="47"/>
      <c r="H144" s="38" t="s">
        <v>216</v>
      </c>
      <c r="I144" s="39"/>
      <c r="J144" s="115" t="str">
        <f>IF(J143&lt;(SUM('PC-B1-3_DDR'!H27:H31)*(ROUND(PI()*'PC-B1-3_DDR'!D15^2*0.25,-1))),"Pass","Fail")</f>
        <v>Pass</v>
      </c>
      <c r="K144" s="116"/>
      <c r="L144" s="47"/>
    </row>
    <row r="145" spans="2:12" ht="15" thickBot="1"/>
    <row r="146" spans="2:12" ht="18.600000000000001" thickBot="1">
      <c r="B146" s="1" t="s">
        <v>180</v>
      </c>
      <c r="F146" s="19"/>
      <c r="L146" s="19"/>
    </row>
    <row r="147" spans="2:12" ht="15" thickBot="1"/>
    <row r="148" spans="2:12">
      <c r="B148" s="106"/>
      <c r="C148" s="6"/>
      <c r="D148" s="6"/>
      <c r="E148" s="6"/>
      <c r="F148" s="7"/>
      <c r="H148" s="106"/>
      <c r="I148" s="6"/>
      <c r="J148" s="6"/>
      <c r="K148" s="6"/>
      <c r="L148" s="7"/>
    </row>
    <row r="149" spans="2:12" ht="15.6">
      <c r="B149" s="8" t="s">
        <v>181</v>
      </c>
      <c r="D149" s="181" t="s">
        <v>321</v>
      </c>
      <c r="E149" s="181"/>
      <c r="F149" s="107" t="str">
        <f>IF(D149="Simplified Method","[cl.8.2.4.3]","[cl.8.2.4.2]")</f>
        <v>[cl.8.2.4.2]</v>
      </c>
      <c r="H149" s="8" t="s">
        <v>181</v>
      </c>
      <c r="J149" s="181" t="s">
        <v>321</v>
      </c>
      <c r="K149" s="181"/>
      <c r="L149" s="107" t="str">
        <f>IF(J149="Simplified Method","[cl.8.2.4.3]","[cl.8.2.4.2]")</f>
        <v>[cl.8.2.4.2]</v>
      </c>
    </row>
    <row r="150" spans="2:12" ht="15.6">
      <c r="B150" s="8" t="s">
        <v>182</v>
      </c>
      <c r="C150" s="108" t="s">
        <v>183</v>
      </c>
      <c r="D150" s="70">
        <f>IF('PC-B1-3_DDR'!D23&lt;=65,IF('PC-B1-3_DDR'!D28&gt;=16,1,MAX(32/(16+'PC-B1-3_DDR'!D28),0.8)),2)</f>
        <v>1</v>
      </c>
      <c r="E150" s="70"/>
      <c r="F150" s="11" t="s">
        <v>184</v>
      </c>
      <c r="H150" s="8" t="s">
        <v>182</v>
      </c>
      <c r="I150" s="108" t="s">
        <v>183</v>
      </c>
      <c r="J150" s="70">
        <f>IF('PC-B1-3_DDR'!D23&lt;=65,IF('PC-B1-3_DDR'!D28&gt;=16,1,MAX(32/(16+'PC-B1-3_DDR'!D28),0.8)),2)</f>
        <v>1</v>
      </c>
      <c r="K150" s="70"/>
      <c r="L150" s="11" t="s">
        <v>184</v>
      </c>
    </row>
    <row r="151" spans="2:12" ht="15.6">
      <c r="B151" s="8" t="s">
        <v>185</v>
      </c>
      <c r="C151" s="108"/>
      <c r="D151" s="57" t="str">
        <f>IF(J99="Fail","Yes","No")</f>
        <v>Yes</v>
      </c>
      <c r="E151" s="70"/>
      <c r="F151" s="13"/>
      <c r="H151" s="8" t="s">
        <v>185</v>
      </c>
      <c r="I151" s="108"/>
      <c r="J151" s="57" t="str">
        <f>IF(D99="Fail","Yes","No")</f>
        <v>Yes</v>
      </c>
      <c r="K151" s="70"/>
      <c r="L151" s="13"/>
    </row>
    <row r="152" spans="2:12" ht="15.6">
      <c r="B152" s="8" t="s">
        <v>186</v>
      </c>
      <c r="C152" s="108" t="s">
        <v>55</v>
      </c>
      <c r="D152" s="71">
        <f>'PC-B1-3_DDR'!D52</f>
        <v>7140</v>
      </c>
      <c r="E152" s="70" t="s">
        <v>56</v>
      </c>
      <c r="F152" s="11" t="s">
        <v>187</v>
      </c>
      <c r="H152" s="8" t="s">
        <v>186</v>
      </c>
      <c r="I152" s="108" t="s">
        <v>55</v>
      </c>
      <c r="J152" s="71">
        <f>'PC-B1-3_DDR'!D51</f>
        <v>14280</v>
      </c>
      <c r="K152" s="70" t="s">
        <v>56</v>
      </c>
      <c r="L152" s="11" t="s">
        <v>187</v>
      </c>
    </row>
    <row r="153" spans="2:12" ht="15.6">
      <c r="B153" s="8" t="s">
        <v>188</v>
      </c>
      <c r="C153" s="108" t="s">
        <v>189</v>
      </c>
      <c r="D153" s="70">
        <f>J96/2-'PC-B1-3_DDR'!D52</f>
        <v>742860</v>
      </c>
      <c r="E153" s="70" t="s">
        <v>56</v>
      </c>
      <c r="F153" s="11" t="s">
        <v>187</v>
      </c>
      <c r="H153" s="8" t="s">
        <v>188</v>
      </c>
      <c r="I153" s="108" t="s">
        <v>189</v>
      </c>
      <c r="J153" s="70">
        <f>D96/2-'PC-B1-3_DDR'!D51</f>
        <v>735720</v>
      </c>
      <c r="K153" s="70" t="s">
        <v>56</v>
      </c>
      <c r="L153" s="11" t="s">
        <v>187</v>
      </c>
    </row>
    <row r="154" spans="2:12" ht="15.6">
      <c r="B154" s="8" t="s">
        <v>190</v>
      </c>
      <c r="C154" s="108" t="s">
        <v>191</v>
      </c>
      <c r="D154" s="118">
        <f>IF(D151="Yes",IF('PC-B1-3_DDR'!J34&gt;=(D122/1000)*SQRT(('PC-B1-3_DDR'!D36^2)+((0.9*'PC-B1-3_DDR'!D37*D127/1000)/(2*D119/1000000))^2),'PC-B1-3_DDR'!D34,(D122/1000)*SQRT(('PC-B1-3_DDR'!D36^2)+((0.9*'PC-B1-3_DDR'!D37*D127/1000)/(2*D119/1000000))^2)),IF('PC-B1-3_DDR'!D34&gt;=('PC-B1-3_DDR'!D36*D122/1000),'PC-B1-3_DDR'!D34,('PC-B1-3_DDR'!D36*D122/1000)))</f>
        <v>3993.8132923984926</v>
      </c>
      <c r="E154" s="70" t="s">
        <v>192</v>
      </c>
      <c r="F154" s="11" t="s">
        <v>187</v>
      </c>
      <c r="H154" s="8" t="s">
        <v>190</v>
      </c>
      <c r="I154" s="108" t="s">
        <v>191</v>
      </c>
      <c r="J154" s="118">
        <f>IF(J151="Yes",IF('PC-B1-3_DDR'!D34&gt;=(J122/1000)*SQRT(('PC-B1-3_DDR'!D36^2)+((0.9*'PC-B1-3_DDR'!D37*J127/1000)/(2*J119/1000000))^2),'PC-B1-3_DDR'!D34,(J122/1000)*SQRT(('PC-B1-3_DDR'!D36^2)+((0.9*'PC-B1-3_DDR'!D37*J127/1000)/(2*J119/1000000))^2)),IF('PC-B1-3_DDR'!D34&gt;=('PC-B1-3_DDR'!D36*J122/1000),'PC-B1-3_DDR'!D34,('PC-B1-3_DDR'!D36*J122/1000)))</f>
        <v>4017.0713796596247</v>
      </c>
      <c r="K154" s="70" t="s">
        <v>192</v>
      </c>
      <c r="L154" s="11" t="s">
        <v>187</v>
      </c>
    </row>
    <row r="155" spans="2:12" ht="15.6">
      <c r="B155" s="8" t="s">
        <v>193</v>
      </c>
      <c r="C155" s="108" t="s">
        <v>194</v>
      </c>
      <c r="D155" s="70">
        <f>IF(D151="Yes",ABS(D154/(D122/1000))+SQRT((ABS('PC-B1-3_DDR'!D36)^2)+((0.9*'PC-B1-3_DDR'!D37*D127/1000)/(2*D119/1000000))^2)+0.5*(-1*'PC-B1-3_DDR'!D35),ABS(D154/(D122/1000))+ABS('PC-B1-3_DDR'!D36)+0.5*(-1*'PC-B1-3_DDR'!D35))</f>
        <v>5645.8414080805751</v>
      </c>
      <c r="E155" s="70" t="s">
        <v>46</v>
      </c>
      <c r="F155" s="11" t="s">
        <v>187</v>
      </c>
      <c r="H155" s="8" t="s">
        <v>193</v>
      </c>
      <c r="I155" s="108" t="s">
        <v>194</v>
      </c>
      <c r="J155" s="117">
        <f>IF(J151="Yes",ABS(J154/(J122/1000))+SQRT((ABS('PC-B1-3_DDR'!D36)^2)+((0.9*'PC-B1-3_DDR'!D37*J127/1000)/(2*J119/1000000))^2)+0.5*(-1*'PC-B1-3_DDR'!D35),ABS(J154/(J122/1000))+ABS('PC-B1-3_DDR'!D36)+0.5*(-1*'PC-B1-3_DDR'!D35))</f>
        <v>5683.5536578858082</v>
      </c>
      <c r="K155" s="70" t="s">
        <v>46</v>
      </c>
      <c r="L155" s="11" t="s">
        <v>187</v>
      </c>
    </row>
    <row r="156" spans="2:12" ht="15.6">
      <c r="B156" s="8" t="s">
        <v>195</v>
      </c>
      <c r="C156" s="108" t="s">
        <v>196</v>
      </c>
      <c r="D156" s="109">
        <f>MIN(D155*1000/(2*('PC-B1-3_DDR'!D27*'PC-B1-3_DDR'!D52)),3*10^-3)</f>
        <v>1.976835226918969E-3</v>
      </c>
      <c r="E156" s="70" t="s">
        <v>197</v>
      </c>
      <c r="F156" s="11" t="s">
        <v>187</v>
      </c>
      <c r="H156" s="8" t="s">
        <v>195</v>
      </c>
      <c r="I156" s="108" t="s">
        <v>196</v>
      </c>
      <c r="J156" s="109">
        <f>MIN(J155*1000/(2*('PC-B1-3_DDR'!D27*'PC-B1-3_DDR'!D51)),3*10^-3)</f>
        <v>9.9501989808925225E-4</v>
      </c>
      <c r="K156" s="70" t="s">
        <v>197</v>
      </c>
      <c r="L156" s="11" t="s">
        <v>187</v>
      </c>
    </row>
    <row r="157" spans="2:12" ht="15.6">
      <c r="B157" s="8" t="s">
        <v>198</v>
      </c>
      <c r="C157" s="108" t="s">
        <v>196</v>
      </c>
      <c r="D157" s="109">
        <f>IF(D156&lt;0,MAX(D155*1000/(2*('PC-B1-3_DDR'!D27*D152+J169*D153)),-0.2*10^-3),D156)</f>
        <v>1.976835226918969E-3</v>
      </c>
      <c r="E157" s="70" t="s">
        <v>197</v>
      </c>
      <c r="F157" s="11" t="s">
        <v>187</v>
      </c>
      <c r="H157" s="8" t="s">
        <v>198</v>
      </c>
      <c r="I157" s="108" t="s">
        <v>196</v>
      </c>
      <c r="J157" s="109">
        <f>IF(J156&lt;0,MAX(J155*1000/(2*('PC-B1-3_DDR'!D27*J152+D169*J153)),-0.2*10^-3),J156)</f>
        <v>9.9501989808925225E-4</v>
      </c>
      <c r="K157" s="70" t="s">
        <v>197</v>
      </c>
      <c r="L157" s="11" t="s">
        <v>187</v>
      </c>
    </row>
    <row r="158" spans="2:12" ht="15.6">
      <c r="B158" s="8" t="s">
        <v>199</v>
      </c>
      <c r="C158" s="108" t="s">
        <v>139</v>
      </c>
      <c r="D158" s="110">
        <f>IF(D125="Pass",(0.4/(1+1500*D157)),(0.4/(1+1500*D157))*(1300/(1000+D150*D122)))</f>
        <v>0.10087629114763412</v>
      </c>
      <c r="E158" s="70"/>
      <c r="F158" s="11" t="str">
        <f>F149</f>
        <v>[cl.8.2.4.2]</v>
      </c>
      <c r="H158" s="8" t="s">
        <v>199</v>
      </c>
      <c r="I158" s="108" t="s">
        <v>139</v>
      </c>
      <c r="J158" s="110">
        <f>IF(J125="Pass",(0.4/(1+1500*J157)),(0.4/(1+1500*J157))*(1300/(1000+J150*J122)))</f>
        <v>0.16047952262636048</v>
      </c>
      <c r="K158" s="70"/>
      <c r="L158" s="11" t="str">
        <f>L149</f>
        <v>[cl.8.2.4.2]</v>
      </c>
    </row>
    <row r="159" spans="2:12" ht="16.2" thickBot="1">
      <c r="B159" s="38" t="s">
        <v>200</v>
      </c>
      <c r="C159" s="111" t="s">
        <v>201</v>
      </c>
      <c r="D159" s="112">
        <f>(29+7000*D157)</f>
        <v>42.837846588432782</v>
      </c>
      <c r="E159" s="113" t="s">
        <v>202</v>
      </c>
      <c r="F159" s="43" t="str">
        <f>F158</f>
        <v>[cl.8.2.4.2]</v>
      </c>
      <c r="H159" s="38" t="s">
        <v>200</v>
      </c>
      <c r="I159" s="111" t="s">
        <v>201</v>
      </c>
      <c r="J159" s="112">
        <f>(29+7000*J157)</f>
        <v>35.965139286624762</v>
      </c>
      <c r="K159" s="113" t="s">
        <v>202</v>
      </c>
      <c r="L159" s="43" t="str">
        <f>L158</f>
        <v>[cl.8.2.4.2]</v>
      </c>
    </row>
    <row r="160" spans="2:12" ht="15" thickBot="1"/>
    <row r="161" spans="2:12" ht="18.600000000000001" thickBot="1">
      <c r="B161" s="176" t="s">
        <v>164</v>
      </c>
      <c r="C161" s="177"/>
    </row>
    <row r="162" spans="2:12" ht="15" thickBot="1"/>
    <row r="163" spans="2:12" ht="15.6">
      <c r="B163" s="37" t="s">
        <v>99</v>
      </c>
      <c r="C163" s="6"/>
      <c r="D163" s="6"/>
      <c r="E163" s="6"/>
      <c r="F163" s="7"/>
    </row>
    <row r="164" spans="2:12">
      <c r="B164" s="44" t="s">
        <v>100</v>
      </c>
      <c r="F164" s="13"/>
    </row>
    <row r="165" spans="2:12">
      <c r="B165" s="44" t="s">
        <v>109</v>
      </c>
      <c r="F165" s="13"/>
    </row>
    <row r="166" spans="2:12" ht="15" thickBot="1">
      <c r="B166" s="122" t="s">
        <v>315</v>
      </c>
      <c r="C166" s="46"/>
      <c r="D166" s="46"/>
      <c r="E166" s="46"/>
      <c r="F166" s="47"/>
    </row>
    <row r="167" spans="2:12" ht="15" thickBot="1"/>
    <row r="168" spans="2:12" ht="15.6">
      <c r="B168" s="37" t="s">
        <v>172</v>
      </c>
      <c r="C168" s="21"/>
      <c r="D168" s="21"/>
      <c r="E168" s="21"/>
      <c r="F168" s="22"/>
      <c r="H168" s="37" t="s">
        <v>173</v>
      </c>
      <c r="I168" s="21"/>
      <c r="J168" s="21"/>
      <c r="K168" s="21"/>
      <c r="L168" s="22"/>
    </row>
    <row r="169" spans="2:12" ht="15.6">
      <c r="B169" s="80" t="s">
        <v>146</v>
      </c>
      <c r="C169" s="5" t="s">
        <v>147</v>
      </c>
      <c r="D169" s="73">
        <f>(('PC-B1-3_DDR'!$D$10*100)^1.5)*0.043*SQRT('PC-B1-3_DDR'!D23)</f>
        <v>38006.989488776897</v>
      </c>
      <c r="E169" s="10"/>
      <c r="F169" s="11"/>
      <c r="H169" s="80" t="s">
        <v>146</v>
      </c>
      <c r="I169" s="5" t="s">
        <v>147</v>
      </c>
      <c r="J169" s="73">
        <f>(('PC-B1-3_DDR'!$D$10*100)^1.5)*0.043*SQRT('PC-B1-3_DDR'!D23)</f>
        <v>38006.989488776897</v>
      </c>
      <c r="K169" s="10"/>
      <c r="L169" s="11"/>
    </row>
    <row r="170" spans="2:12" ht="15.6">
      <c r="B170" s="8" t="s">
        <v>148</v>
      </c>
      <c r="C170" s="5" t="s">
        <v>149</v>
      </c>
      <c r="D170" s="42">
        <f>0.6*'PC-B1-3_DDR'!D23</f>
        <v>30</v>
      </c>
      <c r="E170" s="10" t="s">
        <v>25</v>
      </c>
      <c r="F170" s="11" t="s">
        <v>150</v>
      </c>
      <c r="G170" t="s">
        <v>336</v>
      </c>
      <c r="H170" s="8" t="s">
        <v>148</v>
      </c>
      <c r="I170" s="5" t="s">
        <v>149</v>
      </c>
      <c r="J170" s="42">
        <f>0.6*'PC-B1-3_DDR'!D23</f>
        <v>30</v>
      </c>
      <c r="K170" s="10" t="s">
        <v>25</v>
      </c>
      <c r="L170" s="11" t="s">
        <v>150</v>
      </c>
    </row>
    <row r="171" spans="2:12" ht="15.6">
      <c r="B171" s="8" t="s">
        <v>151</v>
      </c>
      <c r="C171" s="5" t="s">
        <v>152</v>
      </c>
      <c r="D171" s="42">
        <f>J22</f>
        <v>150</v>
      </c>
      <c r="E171" s="10" t="s">
        <v>25</v>
      </c>
      <c r="F171" s="11"/>
      <c r="H171" s="8" t="s">
        <v>151</v>
      </c>
      <c r="I171" s="5" t="s">
        <v>152</v>
      </c>
      <c r="J171" s="42">
        <f>J23</f>
        <v>150</v>
      </c>
      <c r="K171" s="10" t="s">
        <v>25</v>
      </c>
      <c r="L171" s="11"/>
    </row>
    <row r="172" spans="2:12" ht="15.6">
      <c r="B172" s="8" t="s">
        <v>163</v>
      </c>
      <c r="C172" s="5" t="s">
        <v>153</v>
      </c>
      <c r="D172" s="124">
        <f>'PC-B1-3_DDR'!D27/D169</f>
        <v>5.2621899995278003</v>
      </c>
      <c r="E172" s="75"/>
      <c r="F172" s="14"/>
      <c r="H172" s="8" t="s">
        <v>163</v>
      </c>
      <c r="I172" s="5" t="s">
        <v>153</v>
      </c>
      <c r="J172" s="124">
        <f>'PC-B1-3_DDR'!D27/J169</f>
        <v>5.2621899995278003</v>
      </c>
      <c r="K172" s="75"/>
      <c r="L172" s="14"/>
    </row>
    <row r="173" spans="2:12" ht="15.6">
      <c r="B173" s="8" t="s">
        <v>162</v>
      </c>
      <c r="C173" s="5" t="s">
        <v>154</v>
      </c>
      <c r="D173" s="123">
        <f>'PC-B1-3_DDR'!D52/('PC-B1-3_DDR'!D8*'PC-B1-3_DDR'!D9)</f>
        <v>4.7600000000000003E-3</v>
      </c>
      <c r="E173" s="76"/>
      <c r="F173" s="14"/>
      <c r="H173" s="8" t="s">
        <v>162</v>
      </c>
      <c r="I173" s="5" t="s">
        <v>154</v>
      </c>
      <c r="J173" s="123">
        <f>'PC-B1-3_DDR'!D51/('PC-B1-3_DDR'!D8*'PC-B1-3_DDR'!D9)</f>
        <v>9.5200000000000007E-3</v>
      </c>
      <c r="K173" s="76"/>
      <c r="L173" s="14"/>
    </row>
    <row r="174" spans="2:12" ht="15.6">
      <c r="B174" s="8" t="s">
        <v>161</v>
      </c>
      <c r="C174" s="5" t="s">
        <v>155</v>
      </c>
      <c r="D174" s="124">
        <f>SQRT((D172*D173)^2+2*D173*D172)-D172*D173</f>
        <v>0.20017065227391062</v>
      </c>
      <c r="E174" s="75"/>
      <c r="F174" s="14"/>
      <c r="H174" s="8" t="s">
        <v>161</v>
      </c>
      <c r="I174" s="5" t="s">
        <v>155</v>
      </c>
      <c r="J174" s="124">
        <f>SQRT((J173*J172)^2+J173*J172*2)-J172*J173</f>
        <v>0.27037502898832733</v>
      </c>
      <c r="K174" s="75"/>
      <c r="L174" s="14"/>
    </row>
    <row r="175" spans="2:12" ht="15.6">
      <c r="B175" s="8"/>
      <c r="C175" s="5" t="s">
        <v>156</v>
      </c>
      <c r="D175" s="124">
        <f>1-D174/3</f>
        <v>0.93327644924202979</v>
      </c>
      <c r="F175" s="14"/>
      <c r="H175" s="8"/>
      <c r="I175" s="5" t="s">
        <v>156</v>
      </c>
      <c r="J175" s="124">
        <f>1-J174/3</f>
        <v>0.90987499033722419</v>
      </c>
      <c r="L175" s="14"/>
    </row>
    <row r="176" spans="2:12" ht="15.6">
      <c r="B176" s="8"/>
      <c r="C176" s="5" t="s">
        <v>157</v>
      </c>
      <c r="D176" s="77">
        <f>2*'PC-B1-3_DDR'!$D$38/(D175*('PC-B1-3_DDR'!$D$50^2)*'PC-B1-3_DDR'!$D$9*D174)*1000000</f>
        <v>10.715663176425121</v>
      </c>
      <c r="F176" s="14"/>
      <c r="H176" s="8"/>
      <c r="I176" s="5" t="s">
        <v>157</v>
      </c>
      <c r="J176" s="77">
        <f>2*'PC-B1-3_DDR'!$D$38/(J175*('PC-B1-3_DDR'!$D$50^2)*'PC-B1-3_DDR'!$D$9*J174)*1000000</f>
        <v>8.1373211885637939</v>
      </c>
      <c r="L176" s="14"/>
    </row>
    <row r="177" spans="2:12" ht="15.6">
      <c r="B177" s="8" t="s">
        <v>158</v>
      </c>
      <c r="C177" s="5" t="s">
        <v>52</v>
      </c>
      <c r="D177" s="78" t="str">
        <f>IF($D$170&gt;D176,"Pass","Fail")</f>
        <v>Pass</v>
      </c>
      <c r="F177" s="14"/>
      <c r="H177" s="8" t="s">
        <v>158</v>
      </c>
      <c r="I177" s="5" t="s">
        <v>52</v>
      </c>
      <c r="J177" s="78" t="str">
        <f>IF($J$170&gt;J176,"Pass","Fail")</f>
        <v>Pass</v>
      </c>
      <c r="L177" s="14"/>
    </row>
    <row r="178" spans="2:12" ht="15.6">
      <c r="B178" s="8"/>
      <c r="C178" s="5" t="s">
        <v>159</v>
      </c>
      <c r="D178" s="77">
        <f>'PC-B1-3_DDR'!$D$39/('PC-B1-3_DDR'!$D$52*D175*'PC-B1-3_DDR'!$J$53)*1000000 + -1*D35*1000*0.5/D52</f>
        <v>16.229817000353478</v>
      </c>
      <c r="F178" s="14"/>
      <c r="H178" s="8"/>
      <c r="I178" s="5" t="s">
        <v>159</v>
      </c>
      <c r="J178" s="77">
        <f>'PC-B1-3_DDR'!$D$38/('PC-B1-3_DDR'!$D$51*J175*'PC-B1-3_DDR'!$D$50)*1000000 + -1*D35*1000*0.5/D51</f>
        <v>47.453642990270936</v>
      </c>
      <c r="L178" s="14"/>
    </row>
    <row r="179" spans="2:12" ht="16.2" thickBot="1">
      <c r="B179" s="38" t="s">
        <v>160</v>
      </c>
      <c r="C179" s="39" t="s">
        <v>52</v>
      </c>
      <c r="D179" s="79" t="str">
        <f>IF($D$171&gt;D178,"Pass","Fail")</f>
        <v>Pass</v>
      </c>
      <c r="E179" s="46"/>
      <c r="F179" s="41"/>
      <c r="H179" s="38" t="s">
        <v>160</v>
      </c>
      <c r="I179" s="39" t="s">
        <v>52</v>
      </c>
      <c r="J179" s="79" t="str">
        <f>IF($J$171&gt;J178,"Pass","Fail")</f>
        <v>Pass</v>
      </c>
      <c r="K179" s="46"/>
      <c r="L179" s="41"/>
    </row>
  </sheetData>
  <mergeCells count="7">
    <mergeCell ref="B161:C161"/>
    <mergeCell ref="B1:F1"/>
    <mergeCell ref="B5:C5"/>
    <mergeCell ref="B140:F140"/>
    <mergeCell ref="H140:L140"/>
    <mergeCell ref="D149:E149"/>
    <mergeCell ref="J149:K149"/>
  </mergeCells>
  <conditionalFormatting sqref="L8:L19">
    <cfRule type="cellIs" dxfId="5" priority="1" operator="equal">
      <formula>"Fail"</formula>
    </cfRule>
  </conditionalFormatting>
  <dataValidations count="1">
    <dataValidation type="list" allowBlank="1" showInputMessage="1" showErrorMessage="1" sqref="F5" xr:uid="{92BBC046-5EFD-456A-909B-48730AE3754B}">
      <formula1>$R$7:$S$7</formula1>
    </dataValidation>
  </dataValidations>
  <pageMargins left="0.7" right="0.7" top="0.75" bottom="0.75" header="0.3" footer="0.3"/>
  <pageSetup paperSize="9" scale="35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B887D-7C26-485D-8C42-57BEB0695037}">
  <sheetPr codeName="Sheet8">
    <tabColor theme="9" tint="0.59999389629810485"/>
    <pageSetUpPr fitToPage="1"/>
  </sheetPr>
  <dimension ref="B1:U179"/>
  <sheetViews>
    <sheetView topLeftCell="B1" zoomScale="70" zoomScaleNormal="70" workbookViewId="0">
      <selection activeCell="F5" sqref="F5"/>
    </sheetView>
  </sheetViews>
  <sheetFormatPr defaultRowHeight="14.4"/>
  <cols>
    <col min="2" max="2" width="40" customWidth="1"/>
    <col min="3" max="3" width="16.88671875" customWidth="1"/>
    <col min="4" max="4" width="12.33203125" bestFit="1" customWidth="1"/>
    <col min="5" max="5" width="11.88671875" customWidth="1"/>
    <col min="6" max="6" width="30.109375" customWidth="1"/>
    <col min="7" max="7" width="13.33203125" customWidth="1"/>
    <col min="8" max="8" width="43.44140625" customWidth="1"/>
    <col min="9" max="9" width="15.33203125" customWidth="1"/>
    <col min="10" max="10" width="13.33203125" bestFit="1" customWidth="1"/>
    <col min="11" max="11" width="10" bestFit="1" customWidth="1"/>
    <col min="12" max="12" width="28" customWidth="1"/>
  </cols>
  <sheetData>
    <row r="1" spans="2:20" ht="20.399999999999999" thickBot="1">
      <c r="B1" s="175" t="s">
        <v>326</v>
      </c>
      <c r="C1" s="175"/>
      <c r="D1" s="175"/>
      <c r="E1" s="175"/>
      <c r="F1" s="175"/>
    </row>
    <row r="2" spans="2:20" ht="15" thickTop="1"/>
    <row r="3" spans="2:20">
      <c r="B3" s="120" t="s">
        <v>229</v>
      </c>
      <c r="C3" t="s">
        <v>327</v>
      </c>
      <c r="D3" s="120" t="s">
        <v>230</v>
      </c>
      <c r="E3" s="119">
        <f ca="1">TODAY()</f>
        <v>46037</v>
      </c>
      <c r="F3" s="120" t="s">
        <v>231</v>
      </c>
      <c r="G3" s="119">
        <v>45426</v>
      </c>
    </row>
    <row r="4" spans="2:20" ht="15" thickBot="1"/>
    <row r="5" spans="2:20" ht="18.600000000000001" thickBot="1">
      <c r="B5" s="176" t="s">
        <v>0</v>
      </c>
      <c r="C5" s="177"/>
      <c r="D5" s="3"/>
      <c r="E5" s="4"/>
      <c r="F5" s="158" t="s">
        <v>331</v>
      </c>
      <c r="H5" s="87" t="s">
        <v>165</v>
      </c>
      <c r="I5" s="4"/>
      <c r="J5" s="4"/>
      <c r="K5" s="82"/>
    </row>
    <row r="6" spans="2:20" ht="16.2" thickBot="1">
      <c r="B6" s="5"/>
      <c r="C6" s="5"/>
    </row>
    <row r="7" spans="2:20" ht="15.6">
      <c r="B7" s="86" t="s">
        <v>174</v>
      </c>
      <c r="C7" s="6"/>
      <c r="D7" s="6"/>
      <c r="E7" s="6"/>
      <c r="F7" s="7"/>
      <c r="H7" s="147" t="s">
        <v>307</v>
      </c>
      <c r="I7" s="88" t="s">
        <v>39</v>
      </c>
      <c r="J7" s="89">
        <f>D33</f>
        <v>62</v>
      </c>
      <c r="K7" s="90" t="s">
        <v>40</v>
      </c>
      <c r="L7" s="148"/>
      <c r="R7" t="s">
        <v>331</v>
      </c>
      <c r="S7" t="s">
        <v>330</v>
      </c>
    </row>
    <row r="8" spans="2:20" ht="15.6">
      <c r="B8" s="8" t="s">
        <v>175</v>
      </c>
      <c r="C8" s="5" t="s">
        <v>97</v>
      </c>
      <c r="D8" s="158">
        <f>IF(F$5="End Stage",S8,R8)</f>
        <v>250</v>
      </c>
      <c r="E8" s="10" t="s">
        <v>2</v>
      </c>
      <c r="F8" s="11"/>
      <c r="H8" s="91"/>
      <c r="I8" s="92" t="s">
        <v>70</v>
      </c>
      <c r="J8" s="93">
        <f>J59</f>
        <v>402.65354394248232</v>
      </c>
      <c r="K8" s="94" t="s">
        <v>40</v>
      </c>
      <c r="L8" s="170" t="str">
        <f>J60</f>
        <v>Pass</v>
      </c>
      <c r="R8" s="161">
        <v>250</v>
      </c>
      <c r="S8" s="161">
        <v>450</v>
      </c>
      <c r="T8" s="161"/>
    </row>
    <row r="9" spans="2:20" ht="15.6">
      <c r="B9" s="8" t="s">
        <v>176</v>
      </c>
      <c r="C9" s="5" t="s">
        <v>3</v>
      </c>
      <c r="D9" s="166">
        <v>1500</v>
      </c>
      <c r="E9" s="10" t="s">
        <v>2</v>
      </c>
      <c r="F9" s="11"/>
      <c r="H9" s="91"/>
      <c r="I9" s="96" t="s">
        <v>166</v>
      </c>
      <c r="J9" s="93">
        <f>D56</f>
        <v>1241.7484937910103</v>
      </c>
      <c r="K9" s="94" t="s">
        <v>167</v>
      </c>
      <c r="L9" s="170" t="str">
        <f>D57</f>
        <v>Pass</v>
      </c>
      <c r="R9" s="161"/>
      <c r="S9" s="161"/>
      <c r="T9" s="161"/>
    </row>
    <row r="10" spans="2:20" ht="18">
      <c r="B10" s="8" t="s">
        <v>4</v>
      </c>
      <c r="C10" s="81" t="s">
        <v>124</v>
      </c>
      <c r="D10" s="9">
        <v>25</v>
      </c>
      <c r="E10" s="10" t="s">
        <v>5</v>
      </c>
      <c r="F10" s="11"/>
      <c r="H10" s="91"/>
      <c r="I10" s="97"/>
      <c r="J10" s="98"/>
      <c r="K10" s="97"/>
      <c r="L10" s="170"/>
      <c r="R10" s="161"/>
      <c r="S10" s="161"/>
      <c r="T10" s="161"/>
    </row>
    <row r="11" spans="2:20" ht="15.6">
      <c r="B11" s="8" t="s">
        <v>134</v>
      </c>
      <c r="C11" s="5" t="s">
        <v>1</v>
      </c>
      <c r="D11" s="70">
        <f>D8-((H34*I34)+(H35*I35)+(H36*I36)+(H37*I37)+(H38*I38))/(SUM(H34:H38))</f>
        <v>128.125</v>
      </c>
      <c r="E11" s="10" t="s">
        <v>2</v>
      </c>
      <c r="F11" s="121" t="s">
        <v>232</v>
      </c>
      <c r="H11" s="91" t="s">
        <v>168</v>
      </c>
      <c r="I11" s="96" t="s">
        <v>171</v>
      </c>
      <c r="J11" s="93">
        <f>'PC-B4-7_DDR1'!J120</f>
        <v>66</v>
      </c>
      <c r="K11" s="94" t="s">
        <v>46</v>
      </c>
      <c r="L11" s="170"/>
      <c r="R11" s="161"/>
      <c r="S11" s="161"/>
      <c r="T11" s="161"/>
    </row>
    <row r="12" spans="2:20" ht="15.6">
      <c r="B12" s="84" t="s">
        <v>6</v>
      </c>
      <c r="D12" s="12"/>
      <c r="F12" s="13"/>
      <c r="H12" s="91"/>
      <c r="I12" s="92" t="s">
        <v>169</v>
      </c>
      <c r="J12" s="93">
        <f>'PC-B4-7_DDR1'!D132</f>
        <v>867.38233360522941</v>
      </c>
      <c r="K12" s="94" t="s">
        <v>46</v>
      </c>
      <c r="L12" s="170" t="str">
        <f>'PC-B4-7_DDR1'!D133</f>
        <v>Pass</v>
      </c>
      <c r="R12" s="161"/>
      <c r="S12" s="161"/>
      <c r="T12" s="161"/>
    </row>
    <row r="13" spans="2:20" ht="15.6">
      <c r="B13" s="8" t="s">
        <v>7</v>
      </c>
      <c r="C13" s="5" t="s">
        <v>8</v>
      </c>
      <c r="D13" s="158">
        <f>IF(F$5="End Stage",S13,R13)</f>
        <v>35</v>
      </c>
      <c r="E13" s="10" t="s">
        <v>2</v>
      </c>
      <c r="F13" s="11" t="s">
        <v>9</v>
      </c>
      <c r="H13" s="91"/>
      <c r="I13" s="92" t="s">
        <v>170</v>
      </c>
      <c r="J13" s="93">
        <f>'PC-B4-7_DDR1'!J132</f>
        <v>999.79312537731687</v>
      </c>
      <c r="K13" s="94" t="s">
        <v>46</v>
      </c>
      <c r="L13" s="170" t="str">
        <f>'PC-B4-7_DDR1'!J133</f>
        <v>Pass</v>
      </c>
      <c r="R13" s="161">
        <v>35</v>
      </c>
      <c r="S13" s="161">
        <v>50</v>
      </c>
      <c r="T13" s="161"/>
    </row>
    <row r="14" spans="2:20" ht="15.6">
      <c r="B14" s="8" t="s">
        <v>10</v>
      </c>
      <c r="C14" s="5" t="s">
        <v>8</v>
      </c>
      <c r="D14" s="9">
        <v>65</v>
      </c>
      <c r="E14" s="10" t="s">
        <v>2</v>
      </c>
      <c r="F14" s="11" t="s">
        <v>9</v>
      </c>
      <c r="H14" s="91"/>
      <c r="I14" s="97"/>
      <c r="J14" s="99"/>
      <c r="K14" s="97"/>
      <c r="L14" s="170"/>
      <c r="R14" s="161"/>
      <c r="S14" s="161"/>
      <c r="T14" s="161"/>
    </row>
    <row r="15" spans="2:20" ht="15.6">
      <c r="B15" s="8" t="s">
        <v>11</v>
      </c>
      <c r="C15" s="5" t="s">
        <v>12</v>
      </c>
      <c r="D15" s="158">
        <f>IF(F$5="End Stage",S15,R15)</f>
        <v>16</v>
      </c>
      <c r="E15" s="10" t="s">
        <v>2</v>
      </c>
      <c r="F15" s="11"/>
      <c r="H15" s="91" t="s">
        <v>177</v>
      </c>
      <c r="I15" s="96" t="s">
        <v>157</v>
      </c>
      <c r="J15" s="99">
        <f>'PC-B4-7_DDR1'!D176</f>
        <v>26.116818162544806</v>
      </c>
      <c r="K15" s="94" t="s">
        <v>25</v>
      </c>
      <c r="L15" s="171" t="str">
        <f>'PC-B4-7_DDR1'!D177</f>
        <v>Pass</v>
      </c>
      <c r="R15" s="164">
        <v>16</v>
      </c>
      <c r="S15" s="164">
        <v>36</v>
      </c>
      <c r="T15" s="161"/>
    </row>
    <row r="16" spans="2:20" ht="15.6">
      <c r="B16" s="8" t="s">
        <v>13</v>
      </c>
      <c r="C16" s="5" t="s">
        <v>14</v>
      </c>
      <c r="D16" s="9">
        <v>36</v>
      </c>
      <c r="E16" s="10" t="s">
        <v>2</v>
      </c>
      <c r="F16" s="11"/>
      <c r="H16" s="91"/>
      <c r="I16" s="96" t="s">
        <v>159</v>
      </c>
      <c r="J16" s="99">
        <f>'PC-B4-7_DDR1'!D178</f>
        <v>0</v>
      </c>
      <c r="K16" s="94" t="s">
        <v>25</v>
      </c>
      <c r="L16" s="171" t="str">
        <f>'PC-B4-7_DDR1'!D179</f>
        <v>Pass</v>
      </c>
      <c r="R16" s="161"/>
      <c r="S16" s="161"/>
      <c r="T16" s="161"/>
    </row>
    <row r="17" spans="2:20" ht="15.6">
      <c r="B17" s="84" t="s">
        <v>15</v>
      </c>
      <c r="D17" s="12"/>
      <c r="F17" s="13"/>
      <c r="H17" s="91"/>
      <c r="I17" s="97"/>
      <c r="J17" s="99"/>
      <c r="K17" s="97"/>
      <c r="L17" s="170"/>
      <c r="R17" s="161"/>
      <c r="S17" s="161"/>
      <c r="T17" s="161"/>
    </row>
    <row r="18" spans="2:20" ht="15.6">
      <c r="B18" s="8" t="s">
        <v>16</v>
      </c>
      <c r="C18" s="5" t="s">
        <v>17</v>
      </c>
      <c r="D18" s="9">
        <v>16</v>
      </c>
      <c r="E18" s="10" t="s">
        <v>2</v>
      </c>
      <c r="F18" s="14"/>
      <c r="H18" s="91" t="s">
        <v>178</v>
      </c>
      <c r="I18" s="96" t="s">
        <v>157</v>
      </c>
      <c r="J18" s="99">
        <f>'PC-B4-7_DDR1'!J176</f>
        <v>9.381639433688548</v>
      </c>
      <c r="K18" s="94" t="s">
        <v>25</v>
      </c>
      <c r="L18" s="171" t="str">
        <f>'PC-B4-7_DDR1'!J177</f>
        <v>Pass</v>
      </c>
      <c r="R18" s="161"/>
      <c r="S18" s="161"/>
      <c r="T18" s="161"/>
    </row>
    <row r="19" spans="2:20" ht="16.2" thickBot="1">
      <c r="B19" s="8" t="s">
        <v>18</v>
      </c>
      <c r="C19" s="5" t="s">
        <v>19</v>
      </c>
      <c r="D19" s="9">
        <v>200</v>
      </c>
      <c r="E19" s="10" t="s">
        <v>2</v>
      </c>
      <c r="F19" s="14"/>
      <c r="H19" s="101"/>
      <c r="I19" s="102" t="s">
        <v>159</v>
      </c>
      <c r="J19" s="103">
        <f>'PC-B4-7_DDR1'!J178</f>
        <v>26.816764425918223</v>
      </c>
      <c r="K19" s="104" t="s">
        <v>25</v>
      </c>
      <c r="L19" s="172" t="str">
        <f>'PC-B4-7_DDR1'!J179</f>
        <v>Pass</v>
      </c>
      <c r="R19" s="161"/>
      <c r="S19" s="161"/>
      <c r="T19" s="161"/>
    </row>
    <row r="20" spans="2:20" ht="16.2" thickBot="1">
      <c r="B20" s="8" t="s">
        <v>20</v>
      </c>
      <c r="C20" s="5"/>
      <c r="D20" s="9">
        <v>4</v>
      </c>
      <c r="F20" s="14"/>
      <c r="R20" s="161"/>
      <c r="S20" s="161"/>
      <c r="T20" s="161"/>
    </row>
    <row r="21" spans="2:20" ht="15.6">
      <c r="B21" s="8" t="s">
        <v>123</v>
      </c>
      <c r="C21" s="5" t="s">
        <v>17</v>
      </c>
      <c r="D21" s="9">
        <v>16</v>
      </c>
      <c r="E21" s="10" t="s">
        <v>2</v>
      </c>
      <c r="F21" s="11"/>
      <c r="H21" s="163" t="s">
        <v>335</v>
      </c>
      <c r="I21" s="6"/>
      <c r="J21" s="6"/>
      <c r="K21" s="6"/>
      <c r="L21" s="7"/>
      <c r="R21" s="161"/>
      <c r="S21" s="161"/>
      <c r="T21" s="161"/>
    </row>
    <row r="22" spans="2:20" ht="15.6">
      <c r="B22" s="84" t="s">
        <v>22</v>
      </c>
      <c r="C22" s="15"/>
      <c r="D22" s="16"/>
      <c r="F22" s="11"/>
      <c r="H22" s="52" t="s">
        <v>332</v>
      </c>
      <c r="I22" s="5" t="s">
        <v>152</v>
      </c>
      <c r="J22" s="158">
        <f>IF(F$5="End Stage",S22,R22)</f>
        <v>155</v>
      </c>
      <c r="K22" s="10" t="s">
        <v>25</v>
      </c>
      <c r="L22" s="13" t="s">
        <v>333</v>
      </c>
      <c r="R22" s="161">
        <v>155</v>
      </c>
      <c r="S22" s="161">
        <v>150</v>
      </c>
      <c r="T22" s="161"/>
    </row>
    <row r="23" spans="2:20" ht="16.2" thickBot="1">
      <c r="B23" s="8" t="s">
        <v>23</v>
      </c>
      <c r="C23" s="5" t="s">
        <v>24</v>
      </c>
      <c r="D23" s="9">
        <v>50</v>
      </c>
      <c r="E23" s="10" t="s">
        <v>25</v>
      </c>
      <c r="F23" s="11"/>
      <c r="H23" s="162" t="s">
        <v>332</v>
      </c>
      <c r="I23" s="39" t="s">
        <v>152</v>
      </c>
      <c r="J23" s="83">
        <v>150</v>
      </c>
      <c r="K23" s="40" t="s">
        <v>25</v>
      </c>
      <c r="L23" s="47" t="s">
        <v>334</v>
      </c>
      <c r="R23" s="161"/>
      <c r="S23" s="161"/>
      <c r="T23" s="161"/>
    </row>
    <row r="24" spans="2:20" ht="16.2" thickBot="1">
      <c r="B24" s="8" t="s">
        <v>26</v>
      </c>
      <c r="C24" s="5" t="s">
        <v>27</v>
      </c>
      <c r="D24" s="9">
        <v>500</v>
      </c>
      <c r="E24" s="10" t="s">
        <v>25</v>
      </c>
      <c r="F24" s="11" t="s">
        <v>28</v>
      </c>
      <c r="O24" t="s">
        <v>328</v>
      </c>
      <c r="P24" s="9">
        <v>150</v>
      </c>
      <c r="R24" s="161"/>
      <c r="S24" s="161"/>
      <c r="T24" s="161"/>
    </row>
    <row r="25" spans="2:20" ht="16.2" thickBot="1">
      <c r="B25" s="8" t="s">
        <v>29</v>
      </c>
      <c r="C25" s="5" t="s">
        <v>27</v>
      </c>
      <c r="D25" s="9">
        <v>500</v>
      </c>
      <c r="E25" s="10" t="s">
        <v>25</v>
      </c>
      <c r="F25" s="11" t="s">
        <v>28</v>
      </c>
      <c r="H25" s="20" t="s">
        <v>325</v>
      </c>
      <c r="I25" s="21"/>
      <c r="J25" s="22"/>
      <c r="O25" t="s">
        <v>329</v>
      </c>
      <c r="P25">
        <f>ROUNDDOWN(1+(D9-2*D14)/P24,0)</f>
        <v>10</v>
      </c>
      <c r="Q25">
        <f>1+(D9-2*D14)/P24</f>
        <v>10.133333333333333</v>
      </c>
      <c r="R25" s="161"/>
      <c r="S25" s="161"/>
      <c r="T25" s="161"/>
    </row>
    <row r="26" spans="2:20" ht="16.2" thickTop="1">
      <c r="B26" s="8" t="s">
        <v>102</v>
      </c>
      <c r="C26" s="5" t="s">
        <v>103</v>
      </c>
      <c r="D26" s="9">
        <v>500</v>
      </c>
      <c r="E26" s="10" t="s">
        <v>25</v>
      </c>
      <c r="F26" s="11" t="s">
        <v>28</v>
      </c>
      <c r="H26" s="23" t="s">
        <v>53</v>
      </c>
      <c r="I26" s="24" t="s">
        <v>72</v>
      </c>
      <c r="J26" s="25" t="s">
        <v>73</v>
      </c>
      <c r="R26" s="161"/>
      <c r="S26" s="161"/>
      <c r="T26" s="161"/>
    </row>
    <row r="27" spans="2:20" ht="15.6">
      <c r="B27" s="8" t="s">
        <v>30</v>
      </c>
      <c r="C27" s="5" t="s">
        <v>31</v>
      </c>
      <c r="D27" s="17">
        <v>200000</v>
      </c>
      <c r="E27" s="10" t="s">
        <v>25</v>
      </c>
      <c r="F27" s="11" t="s">
        <v>32</v>
      </c>
      <c r="H27" s="165">
        <f>IF(F$5="End Stage",S27,R27)</f>
        <v>5</v>
      </c>
      <c r="I27" s="27">
        <f>IF(H27=0,0,D13+0.5*D15+D18)</f>
        <v>59</v>
      </c>
      <c r="J27" s="28">
        <f>H27*I27</f>
        <v>295</v>
      </c>
      <c r="R27" s="169">
        <v>5</v>
      </c>
      <c r="S27" s="161">
        <v>10</v>
      </c>
      <c r="T27" s="161"/>
    </row>
    <row r="28" spans="2:20" ht="15.6">
      <c r="B28" s="8" t="s">
        <v>226</v>
      </c>
      <c r="C28" s="5" t="s">
        <v>227</v>
      </c>
      <c r="D28" s="9">
        <v>16</v>
      </c>
      <c r="E28" s="10" t="s">
        <v>2</v>
      </c>
      <c r="F28" s="11" t="s">
        <v>184</v>
      </c>
      <c r="H28" s="167">
        <f>IF(F$5="End Stage",S28,R28)</f>
        <v>0</v>
      </c>
      <c r="I28" s="30">
        <f>IF(H28=0,0,I27+25+D15)</f>
        <v>0</v>
      </c>
      <c r="J28" s="31">
        <f>H28*I28</f>
        <v>0</v>
      </c>
      <c r="K28" s="151"/>
      <c r="R28" s="161">
        <v>0</v>
      </c>
      <c r="S28" s="161">
        <v>6</v>
      </c>
      <c r="T28" s="161"/>
    </row>
    <row r="29" spans="2:20" ht="15.6">
      <c r="B29" s="84" t="s">
        <v>33</v>
      </c>
      <c r="D29" s="12"/>
      <c r="F29" s="13"/>
      <c r="H29" s="29">
        <v>0</v>
      </c>
      <c r="I29" s="30">
        <f>IF(H29=0,0,I28+150)</f>
        <v>0</v>
      </c>
      <c r="J29" s="31">
        <f>H29*I29</f>
        <v>0</v>
      </c>
      <c r="R29" s="161"/>
      <c r="S29" s="161"/>
      <c r="T29" s="161"/>
    </row>
    <row r="30" spans="2:20" ht="15.6">
      <c r="B30" s="8" t="s">
        <v>34</v>
      </c>
      <c r="C30" s="18" t="s">
        <v>35</v>
      </c>
      <c r="D30" s="9">
        <v>0.8</v>
      </c>
      <c r="F30" s="11" t="s">
        <v>36</v>
      </c>
      <c r="H30" s="29">
        <v>0</v>
      </c>
      <c r="I30" s="30">
        <f>IF(H30=0,0,I29+$D$13+0.5*$D$15)</f>
        <v>0</v>
      </c>
      <c r="J30" s="31">
        <f>H30*I30</f>
        <v>0</v>
      </c>
      <c r="R30" s="161"/>
      <c r="S30" s="161"/>
      <c r="T30" s="161"/>
    </row>
    <row r="31" spans="2:20" ht="16.2" thickBot="1">
      <c r="B31" s="8" t="s">
        <v>145</v>
      </c>
      <c r="C31" s="18" t="s">
        <v>35</v>
      </c>
      <c r="D31" s="9">
        <v>0.7</v>
      </c>
      <c r="F31" s="11" t="s">
        <v>36</v>
      </c>
      <c r="H31" s="29">
        <v>0</v>
      </c>
      <c r="I31" s="30">
        <f>IF(H31=0,0,I30+$D$13+0.5*$D$15)</f>
        <v>0</v>
      </c>
      <c r="J31" s="31">
        <f>H31*I31</f>
        <v>0</v>
      </c>
      <c r="R31" s="161"/>
      <c r="S31" s="161"/>
      <c r="T31" s="161"/>
    </row>
    <row r="32" spans="2:20" ht="16.2" thickBot="1">
      <c r="B32" s="84" t="s">
        <v>37</v>
      </c>
      <c r="C32" s="5"/>
      <c r="D32" s="85"/>
      <c r="F32" s="14"/>
      <c r="H32" s="20" t="s">
        <v>324</v>
      </c>
      <c r="I32" s="21"/>
      <c r="J32" s="32"/>
      <c r="R32" s="161"/>
      <c r="S32" s="161"/>
      <c r="T32" s="161"/>
    </row>
    <row r="33" spans="2:21" ht="16.2" thickTop="1">
      <c r="B33" s="8" t="s">
        <v>38</v>
      </c>
      <c r="C33" s="5" t="s">
        <v>39</v>
      </c>
      <c r="D33" s="159">
        <f>IF(F$5="End Stage",S33,R33)</f>
        <v>62</v>
      </c>
      <c r="E33" s="10" t="s">
        <v>40</v>
      </c>
      <c r="F33" s="11" t="s">
        <v>41</v>
      </c>
      <c r="H33" s="23" t="s">
        <v>53</v>
      </c>
      <c r="I33" s="24" t="s">
        <v>72</v>
      </c>
      <c r="J33" s="25" t="s">
        <v>73</v>
      </c>
      <c r="P33">
        <v>91</v>
      </c>
      <c r="R33" s="161">
        <v>62</v>
      </c>
      <c r="S33" s="161">
        <v>850</v>
      </c>
      <c r="T33" s="161"/>
      <c r="U33">
        <v>1650</v>
      </c>
    </row>
    <row r="34" spans="2:21" ht="15.6">
      <c r="B34" s="8" t="s">
        <v>42</v>
      </c>
      <c r="C34" s="5" t="s">
        <v>43</v>
      </c>
      <c r="D34" s="159">
        <f t="shared" ref="D34:D39" si="0">IF(F$5="End Stage",S34,R34)</f>
        <v>0</v>
      </c>
      <c r="E34" s="10" t="s">
        <v>40</v>
      </c>
      <c r="F34" s="11" t="s">
        <v>41</v>
      </c>
      <c r="H34" s="26">
        <v>10</v>
      </c>
      <c r="I34" s="27">
        <f>IF(H34=0,0,D14+0.5*D16+D18)</f>
        <v>99</v>
      </c>
      <c r="J34" s="28">
        <f>H34*I34</f>
        <v>990</v>
      </c>
      <c r="L34" s="19"/>
      <c r="P34">
        <v>0</v>
      </c>
      <c r="R34" s="161">
        <v>0</v>
      </c>
      <c r="S34" s="161">
        <v>1031</v>
      </c>
      <c r="T34" s="161"/>
      <c r="U34">
        <v>2050</v>
      </c>
    </row>
    <row r="35" spans="2:21" ht="15.6">
      <c r="B35" s="8" t="s">
        <v>224</v>
      </c>
      <c r="C35" s="5" t="s">
        <v>225</v>
      </c>
      <c r="D35" s="159">
        <f t="shared" si="0"/>
        <v>0</v>
      </c>
      <c r="E35" s="10" t="s">
        <v>46</v>
      </c>
      <c r="F35" s="11" t="s">
        <v>41</v>
      </c>
      <c r="H35" s="29">
        <v>6</v>
      </c>
      <c r="I35" s="30">
        <f>IF(H35=0,0,I34+D16+25)</f>
        <v>160</v>
      </c>
      <c r="J35" s="31">
        <f>H35*I35</f>
        <v>960</v>
      </c>
      <c r="P35">
        <v>0</v>
      </c>
      <c r="R35" s="161">
        <v>0</v>
      </c>
      <c r="S35" s="161">
        <v>750</v>
      </c>
      <c r="T35" s="161"/>
      <c r="U35">
        <v>890</v>
      </c>
    </row>
    <row r="36" spans="2:21" ht="15.6">
      <c r="B36" s="8" t="s">
        <v>44</v>
      </c>
      <c r="C36" s="5" t="s">
        <v>45</v>
      </c>
      <c r="D36" s="159">
        <f t="shared" si="0"/>
        <v>66</v>
      </c>
      <c r="E36" s="10" t="s">
        <v>46</v>
      </c>
      <c r="F36" s="11" t="s">
        <v>41</v>
      </c>
      <c r="H36" s="29">
        <v>0</v>
      </c>
      <c r="I36" s="30">
        <f>IF(H36=0,0,I35+$D$13+0.5*$D$16)</f>
        <v>0</v>
      </c>
      <c r="J36" s="31">
        <f>H36*I36</f>
        <v>0</v>
      </c>
      <c r="P36">
        <v>97</v>
      </c>
      <c r="R36" s="161">
        <v>66</v>
      </c>
      <c r="S36" s="161">
        <v>410</v>
      </c>
      <c r="T36" s="161"/>
      <c r="U36">
        <v>730</v>
      </c>
    </row>
    <row r="37" spans="2:21" ht="15.6">
      <c r="B37" s="8" t="s">
        <v>49</v>
      </c>
      <c r="C37" s="5" t="s">
        <v>50</v>
      </c>
      <c r="D37" s="159">
        <f t="shared" si="0"/>
        <v>0</v>
      </c>
      <c r="E37" s="10" t="s">
        <v>40</v>
      </c>
      <c r="F37" s="11" t="s">
        <v>41</v>
      </c>
      <c r="H37" s="29">
        <v>0</v>
      </c>
      <c r="I37" s="30">
        <f>IF(H37=0,0,I36+$D$13+0.5*$D$16)</f>
        <v>0</v>
      </c>
      <c r="J37" s="31">
        <f>H37*I37</f>
        <v>0</v>
      </c>
      <c r="P37">
        <v>0</v>
      </c>
      <c r="R37" s="161">
        <v>0</v>
      </c>
      <c r="S37" s="161">
        <v>75</v>
      </c>
      <c r="T37" s="161"/>
      <c r="U37">
        <v>220</v>
      </c>
    </row>
    <row r="38" spans="2:21" ht="15.6">
      <c r="B38" s="8" t="s">
        <v>47</v>
      </c>
      <c r="C38" s="5" t="s">
        <v>39</v>
      </c>
      <c r="D38" s="159">
        <f t="shared" si="0"/>
        <v>47</v>
      </c>
      <c r="E38" s="10" t="s">
        <v>40</v>
      </c>
      <c r="F38" s="11" t="s">
        <v>41</v>
      </c>
      <c r="H38" s="29">
        <v>0</v>
      </c>
      <c r="I38" s="30">
        <f>IF(H38=0,0,I37+$D$13+0.5*$D$16)</f>
        <v>0</v>
      </c>
      <c r="J38" s="31">
        <f>H38*I38</f>
        <v>0</v>
      </c>
      <c r="P38">
        <v>70</v>
      </c>
      <c r="R38" s="161">
        <v>47</v>
      </c>
      <c r="S38" s="161">
        <v>550</v>
      </c>
      <c r="T38" s="161"/>
      <c r="U38">
        <v>1100</v>
      </c>
    </row>
    <row r="39" spans="2:21" ht="16.2" thickBot="1">
      <c r="B39" s="38" t="s">
        <v>48</v>
      </c>
      <c r="C39" s="39" t="s">
        <v>43</v>
      </c>
      <c r="D39" s="160">
        <f t="shared" si="0"/>
        <v>0</v>
      </c>
      <c r="E39" s="40" t="s">
        <v>40</v>
      </c>
      <c r="F39" s="43" t="s">
        <v>41</v>
      </c>
      <c r="H39" s="34" t="s">
        <v>74</v>
      </c>
      <c r="I39" s="35" t="s">
        <v>52</v>
      </c>
      <c r="J39" s="36"/>
      <c r="P39">
        <v>0</v>
      </c>
      <c r="R39" s="161">
        <v>0</v>
      </c>
      <c r="S39" s="161">
        <v>690</v>
      </c>
      <c r="T39" s="161"/>
      <c r="U39">
        <v>1350</v>
      </c>
    </row>
    <row r="40" spans="2:21" ht="15" thickBot="1"/>
    <row r="41" spans="2:21" ht="18.600000000000001" thickBot="1">
      <c r="B41" s="1" t="s">
        <v>51</v>
      </c>
      <c r="C41" s="5"/>
      <c r="I41" s="48"/>
      <c r="J41" s="48"/>
    </row>
    <row r="42" spans="2:21" ht="16.2" thickBot="1">
      <c r="B42" s="5"/>
      <c r="C42" s="5"/>
      <c r="L42" s="19"/>
    </row>
    <row r="43" spans="2:21" ht="15.6">
      <c r="B43" s="37" t="s">
        <v>99</v>
      </c>
      <c r="C43" s="6"/>
      <c r="D43" s="6"/>
      <c r="E43" s="6"/>
      <c r="F43" s="7"/>
    </row>
    <row r="44" spans="2:21">
      <c r="B44" s="44" t="s">
        <v>100</v>
      </c>
      <c r="F44" s="13"/>
    </row>
    <row r="45" spans="2:21">
      <c r="B45" s="44" t="s">
        <v>109</v>
      </c>
      <c r="F45" s="13"/>
    </row>
    <row r="46" spans="2:21">
      <c r="B46" s="44"/>
      <c r="F46" s="13"/>
    </row>
    <row r="47" spans="2:21" ht="15" thickBot="1">
      <c r="B47" s="45"/>
      <c r="C47" s="46"/>
      <c r="D47" s="46"/>
      <c r="E47" s="46"/>
      <c r="F47" s="47"/>
    </row>
    <row r="48" spans="2:21" ht="15" thickBot="1"/>
    <row r="49" spans="2:16" ht="15.6">
      <c r="B49" s="67"/>
      <c r="C49" s="68"/>
      <c r="D49" s="21"/>
      <c r="E49" s="21"/>
      <c r="F49" s="22"/>
    </row>
    <row r="50" spans="2:16" ht="15.6">
      <c r="B50" s="8" t="s">
        <v>54</v>
      </c>
      <c r="C50" s="5" t="s">
        <v>1</v>
      </c>
      <c r="D50" s="70">
        <f>D8-((H34*I34)+(H35*I35)+(H36*I36)+(H37*I37)+(H38*I38))/(SUM(H34:H38))</f>
        <v>128.125</v>
      </c>
      <c r="E50" s="10" t="s">
        <v>2</v>
      </c>
      <c r="F50" s="14"/>
      <c r="N50" s="42"/>
    </row>
    <row r="51" spans="2:16" ht="15.6">
      <c r="B51" s="8" t="s">
        <v>295</v>
      </c>
      <c r="C51" s="5" t="s">
        <v>55</v>
      </c>
      <c r="D51" s="71">
        <f>SUM(H34:H38)*ROUND(PI()*D16^2*0.25,-1)</f>
        <v>16320</v>
      </c>
      <c r="E51" s="10" t="s">
        <v>56</v>
      </c>
      <c r="F51" s="14"/>
    </row>
    <row r="52" spans="2:16" ht="16.2" thickBot="1">
      <c r="B52" s="8" t="s">
        <v>296</v>
      </c>
      <c r="C52" s="5" t="s">
        <v>297</v>
      </c>
      <c r="D52" s="71">
        <f>SUM(H27:H31)*ROUND(PI()*D15^2*0.25,-1)</f>
        <v>1000</v>
      </c>
      <c r="E52" s="10" t="s">
        <v>56</v>
      </c>
      <c r="F52" s="13"/>
    </row>
    <row r="53" spans="2:16" ht="15.6">
      <c r="B53" s="8" t="s">
        <v>57</v>
      </c>
      <c r="C53" s="5" t="s">
        <v>58</v>
      </c>
      <c r="D53" s="70">
        <f>IF(0.85-0.0015*($D$23)&lt;0.67,0.67,0.85-0.0015*($D$23))</f>
        <v>0.77500000000000002</v>
      </c>
      <c r="F53" s="11" t="s">
        <v>59</v>
      </c>
      <c r="H53" s="133" t="s">
        <v>308</v>
      </c>
      <c r="I53" s="134" t="s">
        <v>309</v>
      </c>
      <c r="J53" s="135">
        <f>D8-((H27*I27)+(H28*I28)+(H29*I29)+(H30*I30)+(H31*I31))/(SUM(H27:H31))</f>
        <v>191</v>
      </c>
      <c r="K53" s="135" t="s">
        <v>2</v>
      </c>
      <c r="L53" s="7"/>
    </row>
    <row r="54" spans="2:16" ht="15.6">
      <c r="B54" s="8" t="s">
        <v>60</v>
      </c>
      <c r="C54" s="18" t="s">
        <v>61</v>
      </c>
      <c r="D54" s="70">
        <f>IF(0.97-0.0025*($D$23)&lt;0.67,0.67,0.97-0.0025*($D$23))</f>
        <v>0.84499999999999997</v>
      </c>
      <c r="F54" s="11" t="s">
        <v>59</v>
      </c>
      <c r="H54" s="8" t="s">
        <v>298</v>
      </c>
      <c r="I54" s="108" t="s">
        <v>306</v>
      </c>
      <c r="J54" s="71">
        <f>J84-D86</f>
        <v>-1.3369572116062045E-9</v>
      </c>
      <c r="K54" s="70" t="s">
        <v>46</v>
      </c>
      <c r="L54" s="13"/>
    </row>
    <row r="55" spans="2:16" ht="15.6">
      <c r="B55" s="8" t="s">
        <v>294</v>
      </c>
      <c r="C55" s="5" t="s">
        <v>237</v>
      </c>
      <c r="D55" s="156">
        <v>87.745193332626727</v>
      </c>
      <c r="E55" s="136" t="s">
        <v>2</v>
      </c>
      <c r="F55" s="11"/>
      <c r="H55" s="8" t="s">
        <v>62</v>
      </c>
      <c r="I55" s="108" t="s">
        <v>299</v>
      </c>
      <c r="J55" s="110">
        <f>D55/D50</f>
        <v>0.68484053332781836</v>
      </c>
      <c r="K55" s="70"/>
      <c r="L55" s="13"/>
    </row>
    <row r="56" spans="2:16" ht="15.6">
      <c r="B56" s="8" t="s">
        <v>65</v>
      </c>
      <c r="C56" s="5" t="s">
        <v>66</v>
      </c>
      <c r="D56" s="71">
        <f>0.2*((D8/D50)^2)*0.6*SQRT(D23)/D24*D9*D50</f>
        <v>1241.7484937910103</v>
      </c>
      <c r="E56" s="10" t="s">
        <v>56</v>
      </c>
      <c r="F56" s="11" t="s">
        <v>67</v>
      </c>
      <c r="H56" s="8" t="s">
        <v>63</v>
      </c>
      <c r="I56" s="5"/>
      <c r="J56" s="150" t="str">
        <f>IF(J55&gt;0.36,"Check ku","ku OK")</f>
        <v>Check ku</v>
      </c>
      <c r="K56" s="69"/>
      <c r="L56" s="11" t="s">
        <v>64</v>
      </c>
    </row>
    <row r="57" spans="2:16" ht="15.6">
      <c r="B57" s="8" t="s">
        <v>68</v>
      </c>
      <c r="C57" s="5"/>
      <c r="D57" s="57" t="str">
        <f>IF(D51&gt;D56,"Pass","Fail")</f>
        <v>Pass</v>
      </c>
      <c r="E57" t="s">
        <v>69</v>
      </c>
      <c r="F57" s="11" t="s">
        <v>317</v>
      </c>
      <c r="H57" s="8" t="s">
        <v>300</v>
      </c>
      <c r="I57" s="108" t="s">
        <v>301</v>
      </c>
      <c r="J57" s="118">
        <f>((J78*1000*(D8-I34)+J79*1000*(D8-I35)+J80*1000*(D8-I36)+J81*1000*(D8-I37)+J82*1000*(D8-I38))-(D84*1000*D54*D55*0.5)-(D78*1000*I27+D79*1000*I28+D80*1000*I29+D81*1000*I30+D82*1000*I31))*10^-6</f>
        <v>503.31692992810287</v>
      </c>
      <c r="K57" s="70" t="s">
        <v>192</v>
      </c>
      <c r="L57" s="13"/>
    </row>
    <row r="58" spans="2:16" ht="15.6">
      <c r="B58" s="8" t="s">
        <v>68</v>
      </c>
      <c r="C58" s="5"/>
      <c r="D58" s="57" t="str">
        <f>IF(D51&gt;J138,"Pass","Fail")</f>
        <v>Pass</v>
      </c>
      <c r="E58" t="s">
        <v>69</v>
      </c>
      <c r="F58" s="11" t="s">
        <v>318</v>
      </c>
      <c r="H58" s="8" t="s">
        <v>303</v>
      </c>
      <c r="I58" s="108" t="s">
        <v>302</v>
      </c>
      <c r="J58" s="118">
        <f>1.2*(D9*(D8^2)/6)*(0.6*SQRT(D23))/1000000</f>
        <v>79.549512883486585</v>
      </c>
      <c r="K58" s="70" t="s">
        <v>192</v>
      </c>
      <c r="L58" s="13"/>
    </row>
    <row r="59" spans="2:16" ht="15.6">
      <c r="B59" s="8" t="s">
        <v>239</v>
      </c>
      <c r="C59" s="5" t="s">
        <v>292</v>
      </c>
      <c r="D59" s="136">
        <v>3.0000000000000001E-3</v>
      </c>
      <c r="E59" s="136" t="s">
        <v>197</v>
      </c>
      <c r="F59" s="13"/>
      <c r="H59" s="8" t="s">
        <v>304</v>
      </c>
      <c r="I59" s="108" t="s">
        <v>305</v>
      </c>
      <c r="J59" s="118">
        <f>J57*D30</f>
        <v>402.65354394248232</v>
      </c>
      <c r="K59" s="70" t="s">
        <v>192</v>
      </c>
      <c r="L59" s="13"/>
    </row>
    <row r="60" spans="2:16" ht="16.2" thickBot="1">
      <c r="B60" s="38" t="s">
        <v>238</v>
      </c>
      <c r="C60" s="39" t="s">
        <v>293</v>
      </c>
      <c r="D60" s="157">
        <v>2.5000000000000001E-3</v>
      </c>
      <c r="E60" s="157" t="s">
        <v>197</v>
      </c>
      <c r="F60" s="47"/>
      <c r="H60" s="38" t="s">
        <v>71</v>
      </c>
      <c r="I60" s="39"/>
      <c r="J60" s="59" t="str">
        <f>IF(J59&gt;D33,"Pass","Fail")</f>
        <v>Pass</v>
      </c>
      <c r="K60" s="40"/>
      <c r="L60" s="43" t="s">
        <v>52</v>
      </c>
      <c r="P60" s="42"/>
    </row>
    <row r="61" spans="2:16" ht="15" thickBot="1"/>
    <row r="62" spans="2:16" ht="15.6">
      <c r="B62" s="37" t="s">
        <v>240</v>
      </c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2:16">
      <c r="B63" s="127"/>
      <c r="L63" s="13"/>
    </row>
    <row r="64" spans="2:16">
      <c r="B64" s="137" t="s">
        <v>235</v>
      </c>
      <c r="C64" s="132"/>
      <c r="D64" s="138"/>
      <c r="E64" s="139"/>
      <c r="F64" s="130"/>
      <c r="G64" s="130"/>
      <c r="H64" s="129" t="s">
        <v>236</v>
      </c>
      <c r="I64" s="132"/>
      <c r="J64" s="138"/>
      <c r="K64" s="139"/>
      <c r="L64" s="146"/>
    </row>
    <row r="65" spans="2:15" ht="15.6">
      <c r="B65" s="140"/>
      <c r="C65" s="130"/>
      <c r="D65" s="141"/>
      <c r="H65" s="130"/>
      <c r="I65" s="130"/>
      <c r="J65" s="141"/>
      <c r="L65" s="146"/>
    </row>
    <row r="66" spans="2:15" ht="15.6">
      <c r="B66" s="8" t="s">
        <v>241</v>
      </c>
      <c r="C66" s="5" t="s">
        <v>282</v>
      </c>
      <c r="D66" s="142">
        <f>IF(I27=0,0,$D$59*($D$55-I27)/$D$55)</f>
        <v>9.8279548682485827E-4</v>
      </c>
      <c r="E66" s="136" t="s">
        <v>197</v>
      </c>
      <c r="H66" s="5" t="s">
        <v>261</v>
      </c>
      <c r="I66" s="5" t="s">
        <v>282</v>
      </c>
      <c r="J66" s="10">
        <f>IF(I34=0,0,$D$59*($D$8-I34-$D$55)/$D$55)</f>
        <v>2.1626759574482446E-3</v>
      </c>
      <c r="K66" s="136" t="s">
        <v>197</v>
      </c>
      <c r="L66" s="146"/>
      <c r="M66" s="130"/>
      <c r="N66" s="131"/>
      <c r="O66" s="130"/>
    </row>
    <row r="67" spans="2:15" ht="15.6">
      <c r="B67" s="8" t="s">
        <v>242</v>
      </c>
      <c r="C67" s="5" t="s">
        <v>283</v>
      </c>
      <c r="D67" s="142">
        <f>IF(I28=0,0,$D$59*($D$55-I28)/$D$55)</f>
        <v>0</v>
      </c>
      <c r="E67" s="136" t="s">
        <v>197</v>
      </c>
      <c r="H67" s="5" t="s">
        <v>262</v>
      </c>
      <c r="I67" s="5" t="s">
        <v>283</v>
      </c>
      <c r="J67" s="10">
        <f>IF(I35=0,0,$D$59*($D$8-I35-$D$55)/$D$55)</f>
        <v>7.7091630267165563E-5</v>
      </c>
      <c r="K67" s="136" t="s">
        <v>197</v>
      </c>
      <c r="L67" s="146"/>
      <c r="M67" s="130"/>
      <c r="N67" s="131"/>
      <c r="O67" s="130"/>
    </row>
    <row r="68" spans="2:15" ht="15.6">
      <c r="B68" s="8" t="s">
        <v>243</v>
      </c>
      <c r="C68" s="5" t="s">
        <v>284</v>
      </c>
      <c r="D68" s="142">
        <f>IF(I29=0,0,$D$59*($D$55-I29)/$D$55)</f>
        <v>0</v>
      </c>
      <c r="E68" s="136" t="s">
        <v>197</v>
      </c>
      <c r="H68" s="5" t="s">
        <v>263</v>
      </c>
      <c r="I68" s="5" t="s">
        <v>284</v>
      </c>
      <c r="J68" s="10">
        <f>IF(I36=0,0,$D$59*($D$8-I36-$D$55)/$D$55)</f>
        <v>0</v>
      </c>
      <c r="K68" s="136" t="s">
        <v>197</v>
      </c>
      <c r="L68" s="13"/>
      <c r="M68" s="130"/>
      <c r="N68" s="131"/>
      <c r="O68" s="130"/>
    </row>
    <row r="69" spans="2:15" ht="15.6">
      <c r="B69" s="8" t="s">
        <v>244</v>
      </c>
      <c r="C69" s="5" t="s">
        <v>285</v>
      </c>
      <c r="D69" s="142">
        <f>IF(I30=0,0,$D$59*($D$55-I30)/$D$55)</f>
        <v>0</v>
      </c>
      <c r="E69" s="136" t="s">
        <v>197</v>
      </c>
      <c r="H69" s="5" t="s">
        <v>264</v>
      </c>
      <c r="I69" s="5" t="s">
        <v>285</v>
      </c>
      <c r="J69" s="10">
        <f>IF(I37=0,0,$D$59*($D$8-I37-$D$55)/$D$55)</f>
        <v>0</v>
      </c>
      <c r="K69" s="136" t="s">
        <v>197</v>
      </c>
      <c r="L69" s="13"/>
    </row>
    <row r="70" spans="2:15" ht="15.6">
      <c r="B70" s="8" t="s">
        <v>245</v>
      </c>
      <c r="C70" s="5" t="s">
        <v>286</v>
      </c>
      <c r="D70" s="142">
        <f>IF(I31=0,0,$D$59*($D$55-I31)/$D$55)</f>
        <v>0</v>
      </c>
      <c r="E70" s="136" t="s">
        <v>197</v>
      </c>
      <c r="H70" s="5" t="s">
        <v>265</v>
      </c>
      <c r="I70" s="5" t="s">
        <v>286</v>
      </c>
      <c r="J70" s="10">
        <f>IF(I38=0,0,$D$59*($D$8-I38-$D$55)/$D$55)</f>
        <v>0</v>
      </c>
      <c r="K70" s="136" t="s">
        <v>197</v>
      </c>
      <c r="L70" s="13"/>
    </row>
    <row r="71" spans="2:15" ht="15.6">
      <c r="B71" s="143"/>
      <c r="C71" s="136"/>
      <c r="D71" s="136"/>
      <c r="E71" s="136"/>
      <c r="H71" s="70"/>
      <c r="I71" s="136"/>
      <c r="J71" s="136"/>
      <c r="K71" s="136"/>
      <c r="L71" s="13"/>
    </row>
    <row r="72" spans="2:15" ht="15" customHeight="1">
      <c r="B72" s="144" t="s">
        <v>246</v>
      </c>
      <c r="C72" s="18" t="s">
        <v>287</v>
      </c>
      <c r="D72" s="149">
        <f>MIN(D66*$D$27,D24)</f>
        <v>196.55909736497165</v>
      </c>
      <c r="E72" s="136" t="s">
        <v>25</v>
      </c>
      <c r="H72" s="108" t="s">
        <v>266</v>
      </c>
      <c r="I72" s="18" t="s">
        <v>287</v>
      </c>
      <c r="J72" s="149">
        <f>MIN(J66*$D$27,D25)</f>
        <v>432.53519148964892</v>
      </c>
      <c r="K72" s="136" t="s">
        <v>25</v>
      </c>
      <c r="L72" s="13"/>
    </row>
    <row r="73" spans="2:15" ht="18.600000000000001">
      <c r="B73" s="144" t="s">
        <v>247</v>
      </c>
      <c r="C73" s="18" t="s">
        <v>288</v>
      </c>
      <c r="D73" s="149">
        <f>MIN(D67*$D$27,D25)</f>
        <v>0</v>
      </c>
      <c r="E73" s="136" t="s">
        <v>25</v>
      </c>
      <c r="H73" s="108" t="s">
        <v>267</v>
      </c>
      <c r="I73" s="18" t="s">
        <v>288</v>
      </c>
      <c r="J73" s="149">
        <f>MIN(J67*$D$27,D26)</f>
        <v>15.418326053433113</v>
      </c>
      <c r="K73" s="136" t="s">
        <v>25</v>
      </c>
      <c r="L73" s="13"/>
    </row>
    <row r="74" spans="2:15" ht="15" customHeight="1">
      <c r="B74" s="144" t="s">
        <v>248</v>
      </c>
      <c r="C74" s="18" t="s">
        <v>289</v>
      </c>
      <c r="D74" s="149">
        <f>MIN(D68*$D$27,D26)</f>
        <v>0</v>
      </c>
      <c r="E74" s="136" t="s">
        <v>25</v>
      </c>
      <c r="H74" s="108" t="s">
        <v>268</v>
      </c>
      <c r="I74" s="18" t="s">
        <v>289</v>
      </c>
      <c r="J74" s="149">
        <f>MIN(J68*$D$27,D27)</f>
        <v>0</v>
      </c>
      <c r="K74" s="136" t="s">
        <v>25</v>
      </c>
      <c r="L74" s="13"/>
    </row>
    <row r="75" spans="2:15" ht="15.75" customHeight="1">
      <c r="B75" s="144" t="s">
        <v>249</v>
      </c>
      <c r="C75" s="18" t="s">
        <v>290</v>
      </c>
      <c r="D75" s="149">
        <f>MIN(D69*$D$27,D27)</f>
        <v>0</v>
      </c>
      <c r="E75" s="136" t="s">
        <v>25</v>
      </c>
      <c r="H75" s="108" t="s">
        <v>269</v>
      </c>
      <c r="I75" s="18" t="s">
        <v>290</v>
      </c>
      <c r="J75" s="149">
        <f>MIN(J69*$D$27,D28)</f>
        <v>0</v>
      </c>
      <c r="K75" s="136" t="s">
        <v>25</v>
      </c>
      <c r="L75" s="13"/>
    </row>
    <row r="76" spans="2:15" ht="15" customHeight="1">
      <c r="B76" s="144" t="s">
        <v>250</v>
      </c>
      <c r="C76" s="18" t="s">
        <v>291</v>
      </c>
      <c r="D76" s="149">
        <f>MIN(D70*$D$27,D28)</f>
        <v>0</v>
      </c>
      <c r="E76" s="136" t="s">
        <v>25</v>
      </c>
      <c r="H76" s="108" t="s">
        <v>270</v>
      </c>
      <c r="I76" s="18" t="s">
        <v>291</v>
      </c>
      <c r="J76" s="149">
        <f>MIN(J70*$D$27,D29)</f>
        <v>0</v>
      </c>
      <c r="K76" s="136" t="s">
        <v>25</v>
      </c>
      <c r="L76" s="13"/>
    </row>
    <row r="77" spans="2:15" ht="15.6">
      <c r="B77" s="145"/>
      <c r="C77" s="136"/>
      <c r="D77" s="149"/>
      <c r="E77" s="136"/>
      <c r="H77" s="70"/>
      <c r="I77" s="136"/>
      <c r="J77" s="149"/>
      <c r="K77" s="136"/>
      <c r="L77" s="13"/>
    </row>
    <row r="78" spans="2:15" ht="15.6">
      <c r="B78" s="144" t="s">
        <v>251</v>
      </c>
      <c r="C78" s="5" t="s">
        <v>256</v>
      </c>
      <c r="D78" s="149">
        <f>H27*ROUND(PI()*$D$15^2*0.25,-1)*D72*10^-3</f>
        <v>196.55909736497165</v>
      </c>
      <c r="E78" s="136" t="s">
        <v>46</v>
      </c>
      <c r="H78" s="108" t="s">
        <v>271</v>
      </c>
      <c r="I78" s="5" t="s">
        <v>256</v>
      </c>
      <c r="J78" s="149">
        <f>H34*ROUND(PI()*$D$16^2*0.25,-1)*J72*10^-3</f>
        <v>4411.858953194419</v>
      </c>
      <c r="K78" s="136" t="s">
        <v>46</v>
      </c>
      <c r="L78" s="13"/>
    </row>
    <row r="79" spans="2:15" ht="15.6">
      <c r="B79" s="144" t="s">
        <v>252</v>
      </c>
      <c r="C79" s="5" t="s">
        <v>257</v>
      </c>
      <c r="D79" s="149">
        <f>H28*ROUND(PI()*$D$15^2*0.25,-1)*D73*10^-3</f>
        <v>0</v>
      </c>
      <c r="E79" s="136" t="s">
        <v>46</v>
      </c>
      <c r="H79" s="108" t="s">
        <v>272</v>
      </c>
      <c r="I79" s="5" t="s">
        <v>257</v>
      </c>
      <c r="J79" s="149">
        <f>H35*ROUND(PI()*$D$16^2*0.25,-1)*J73*10^-3</f>
        <v>94.360155447010655</v>
      </c>
      <c r="K79" s="136" t="s">
        <v>46</v>
      </c>
      <c r="L79" s="13"/>
    </row>
    <row r="80" spans="2:15" ht="15.6">
      <c r="B80" s="144" t="s">
        <v>253</v>
      </c>
      <c r="C80" s="5" t="s">
        <v>258</v>
      </c>
      <c r="D80" s="149">
        <f>H29*ROUND(PI()*$D$15^2*0.25,-1)*D74*10^-3</f>
        <v>0</v>
      </c>
      <c r="E80" s="136" t="s">
        <v>46</v>
      </c>
      <c r="H80" s="108" t="s">
        <v>273</v>
      </c>
      <c r="I80" s="5" t="s">
        <v>258</v>
      </c>
      <c r="J80" s="149">
        <f>H36*ROUND(PI()*$D$16^2*0.25,-1)*J74*10^-3</f>
        <v>0</v>
      </c>
      <c r="K80" s="136" t="s">
        <v>46</v>
      </c>
      <c r="L80" s="13"/>
    </row>
    <row r="81" spans="2:12" ht="15.6">
      <c r="B81" s="144" t="s">
        <v>254</v>
      </c>
      <c r="C81" s="5" t="s">
        <v>259</v>
      </c>
      <c r="D81" s="149">
        <f>H30*ROUND(PI()*$D$15^2*0.25,-1)*D75*10^-3</f>
        <v>0</v>
      </c>
      <c r="E81" s="136" t="s">
        <v>46</v>
      </c>
      <c r="H81" s="108" t="s">
        <v>274</v>
      </c>
      <c r="I81" s="5" t="s">
        <v>259</v>
      </c>
      <c r="J81" s="149">
        <f>H37*ROUND(PI()*$D$16^2*0.25,-1)*J75*10^-3</f>
        <v>0</v>
      </c>
      <c r="K81" s="136" t="s">
        <v>46</v>
      </c>
      <c r="L81" s="13"/>
    </row>
    <row r="82" spans="2:12" ht="15.6">
      <c r="B82" s="144" t="s">
        <v>255</v>
      </c>
      <c r="C82" s="5" t="s">
        <v>260</v>
      </c>
      <c r="D82" s="149">
        <f>H31*ROUND(PI()*$D$15^2*0.25,-1)*D76*10^-3</f>
        <v>0</v>
      </c>
      <c r="E82" s="136" t="s">
        <v>46</v>
      </c>
      <c r="H82" s="108" t="s">
        <v>275</v>
      </c>
      <c r="I82" s="5" t="s">
        <v>260</v>
      </c>
      <c r="J82" s="149">
        <f>H38*ROUND(PI()*$D$16^2*0.25,-1)*J76*10^-3</f>
        <v>0</v>
      </c>
      <c r="K82" s="136" t="s">
        <v>46</v>
      </c>
      <c r="L82" s="13"/>
    </row>
    <row r="83" spans="2:12" ht="15.6">
      <c r="B83" s="143"/>
      <c r="C83" s="136"/>
      <c r="D83" s="149"/>
      <c r="E83" s="136"/>
      <c r="H83" s="70"/>
      <c r="I83" s="136"/>
      <c r="J83" s="136"/>
      <c r="K83" s="136"/>
      <c r="L83" s="13"/>
    </row>
    <row r="84" spans="2:12" ht="15.6">
      <c r="B84" s="144" t="s">
        <v>276</v>
      </c>
      <c r="C84" s="5" t="s">
        <v>277</v>
      </c>
      <c r="D84" s="149">
        <f>D53*D54*D23*D9*D55*10^-3</f>
        <v>4309.6600112777951</v>
      </c>
      <c r="E84" s="136" t="s">
        <v>46</v>
      </c>
      <c r="H84" s="5" t="s">
        <v>280</v>
      </c>
      <c r="I84" s="5" t="s">
        <v>281</v>
      </c>
      <c r="J84" s="72">
        <f>SUM(J78:J82)-D35/2</f>
        <v>4506.2191086414296</v>
      </c>
      <c r="K84" s="10" t="s">
        <v>46</v>
      </c>
      <c r="L84" s="13"/>
    </row>
    <row r="85" spans="2:12" ht="15.6">
      <c r="B85" s="143"/>
      <c r="C85" s="136"/>
      <c r="D85" s="136"/>
      <c r="E85" s="136"/>
      <c r="L85" s="13"/>
    </row>
    <row r="86" spans="2:12" ht="15.6">
      <c r="B86" s="8" t="s">
        <v>278</v>
      </c>
      <c r="C86" s="5" t="s">
        <v>279</v>
      </c>
      <c r="D86" s="72">
        <f>D84+SUM(D78:D82)+D35/2</f>
        <v>4506.2191086427665</v>
      </c>
      <c r="E86" s="10" t="s">
        <v>46</v>
      </c>
      <c r="L86" s="13"/>
    </row>
    <row r="87" spans="2:12" ht="15" thickBot="1">
      <c r="B87" s="128"/>
      <c r="C87" s="46"/>
      <c r="D87" s="46"/>
      <c r="E87" s="46"/>
      <c r="F87" s="46"/>
      <c r="G87" s="46"/>
      <c r="H87" s="46"/>
      <c r="I87" s="46"/>
      <c r="J87" s="46"/>
      <c r="K87" s="46"/>
      <c r="L87" s="47"/>
    </row>
    <row r="88" spans="2:12" ht="15" thickBot="1"/>
    <row r="89" spans="2:12" ht="18.600000000000001" thickBot="1">
      <c r="B89" s="1" t="s">
        <v>92</v>
      </c>
      <c r="C89" s="2"/>
      <c r="L89" s="19"/>
    </row>
    <row r="90" spans="2:12" ht="15" thickBot="1"/>
    <row r="91" spans="2:12" ht="15.6">
      <c r="B91" s="37" t="s">
        <v>99</v>
      </c>
      <c r="C91" s="6"/>
      <c r="D91" s="6"/>
      <c r="E91" s="6"/>
      <c r="F91" s="7"/>
    </row>
    <row r="92" spans="2:12">
      <c r="B92" s="44" t="s">
        <v>100</v>
      </c>
      <c r="F92" s="13"/>
    </row>
    <row r="93" spans="2:12" ht="15" thickBot="1">
      <c r="B93" s="122" t="s">
        <v>109</v>
      </c>
      <c r="C93" s="46"/>
      <c r="D93" s="46"/>
      <c r="E93" s="46"/>
      <c r="F93" s="47"/>
    </row>
    <row r="94" spans="2:12" ht="15" thickBot="1"/>
    <row r="95" spans="2:12" ht="15.75" customHeight="1">
      <c r="B95" s="37" t="s">
        <v>172</v>
      </c>
      <c r="C95" s="21"/>
      <c r="D95" s="21"/>
      <c r="E95" s="21"/>
      <c r="F95" s="22"/>
      <c r="H95" s="37" t="s">
        <v>173</v>
      </c>
      <c r="I95" s="21"/>
      <c r="J95" s="21"/>
      <c r="K95" s="21"/>
      <c r="L95" s="22"/>
    </row>
    <row r="96" spans="2:12" ht="15.75" customHeight="1">
      <c r="B96" s="8" t="s">
        <v>125</v>
      </c>
      <c r="C96" s="5" t="s">
        <v>114</v>
      </c>
      <c r="D96" s="10">
        <f>'PC-B4-7_DDR1'!D8*'PC-B4-7_DDR1'!D9</f>
        <v>375000</v>
      </c>
      <c r="E96" s="10" t="s">
        <v>56</v>
      </c>
      <c r="F96" s="11" t="s">
        <v>93</v>
      </c>
      <c r="H96" s="8" t="s">
        <v>125</v>
      </c>
      <c r="I96" s="5" t="s">
        <v>114</v>
      </c>
      <c r="J96" s="10">
        <f>'PC-B4-7_DDR1'!D8*'PC-B4-7_DDR1'!D9</f>
        <v>375000</v>
      </c>
      <c r="K96" s="10" t="s">
        <v>56</v>
      </c>
      <c r="L96" s="11" t="s">
        <v>93</v>
      </c>
    </row>
    <row r="97" spans="2:12" ht="15.6">
      <c r="B97" s="8" t="s">
        <v>126</v>
      </c>
      <c r="C97" s="5" t="s">
        <v>115</v>
      </c>
      <c r="D97" s="10">
        <f>2*'PC-B4-7_DDR1'!D8+2*'PC-B4-7_DDR1'!D9</f>
        <v>3500</v>
      </c>
      <c r="E97" s="10" t="s">
        <v>2</v>
      </c>
      <c r="F97" s="11" t="s">
        <v>93</v>
      </c>
      <c r="H97" s="8" t="s">
        <v>126</v>
      </c>
      <c r="I97" s="5" t="s">
        <v>115</v>
      </c>
      <c r="J97" s="10">
        <f>2*'PC-B4-7_DDR1'!D8+2*'PC-B4-7_DDR1'!D9</f>
        <v>3500</v>
      </c>
      <c r="K97" s="10" t="s">
        <v>2</v>
      </c>
      <c r="L97" s="11" t="s">
        <v>93</v>
      </c>
    </row>
    <row r="98" spans="2:12" ht="15.6">
      <c r="B98" s="8" t="s">
        <v>94</v>
      </c>
      <c r="C98" s="5" t="s">
        <v>116</v>
      </c>
      <c r="D98" s="60">
        <f>0.33*SQRT('PC-B4-7_DDR1'!D23)*((D96^2)/(D97))*SQRT(1)*10^-6</f>
        <v>93.754783041252054</v>
      </c>
      <c r="E98" s="50" t="s">
        <v>40</v>
      </c>
      <c r="F98" s="11" t="s">
        <v>93</v>
      </c>
      <c r="H98" s="8" t="s">
        <v>94</v>
      </c>
      <c r="I98" s="5" t="s">
        <v>116</v>
      </c>
      <c r="J98" s="60">
        <f>0.33*SQRT('PC-B4-7_DDR1'!D23)*((J96^2)/(J97))*SQRT(1)*10^-6</f>
        <v>93.754783041252054</v>
      </c>
      <c r="K98" s="50" t="s">
        <v>40</v>
      </c>
      <c r="L98" s="11" t="s">
        <v>93</v>
      </c>
    </row>
    <row r="99" spans="2:12" ht="15.6">
      <c r="B99" s="8" t="s">
        <v>95</v>
      </c>
      <c r="C99" s="5"/>
      <c r="D99" s="57" t="str">
        <f>IF(0.25*'PC-B4-7_DDR1'!D31*D98&gt;'PC-B4-7_DDR1'!D37,"Pass","Fail")</f>
        <v>Pass</v>
      </c>
      <c r="E99" s="51"/>
      <c r="F99" s="11" t="s">
        <v>96</v>
      </c>
      <c r="H99" s="8" t="s">
        <v>95</v>
      </c>
      <c r="I99" s="5"/>
      <c r="J99" s="57" t="str">
        <f>IF(0.25*'PC-B4-7_DDR1'!D31*J98&gt;'PC-B4-7_DDR1'!D37,"Pass","Fail")</f>
        <v>Pass</v>
      </c>
      <c r="K99" s="51"/>
      <c r="L99" s="11" t="s">
        <v>96</v>
      </c>
    </row>
    <row r="100" spans="2:12" ht="15.6">
      <c r="B100" s="8" t="s">
        <v>101</v>
      </c>
      <c r="C100" s="5" t="s">
        <v>117</v>
      </c>
      <c r="D100" s="60">
        <f>ROUND(PI()*'PC-B4-7_DDR1'!D21^2/4,-1)*2</f>
        <v>400</v>
      </c>
      <c r="E100" s="10" t="s">
        <v>56</v>
      </c>
      <c r="F100" s="11" t="s">
        <v>108</v>
      </c>
      <c r="H100" s="8" t="s">
        <v>101</v>
      </c>
      <c r="I100" s="5" t="s">
        <v>117</v>
      </c>
      <c r="J100" s="60">
        <f>ROUND(PI()*'PC-B4-7_DDR1'!D21^2/4,-1)*2</f>
        <v>400</v>
      </c>
      <c r="K100" s="10" t="s">
        <v>56</v>
      </c>
      <c r="L100" s="11" t="s">
        <v>108</v>
      </c>
    </row>
    <row r="101" spans="2:12" ht="15.6">
      <c r="B101" s="8" t="s">
        <v>107</v>
      </c>
      <c r="C101" s="5" t="s">
        <v>118</v>
      </c>
      <c r="D101" s="49">
        <f>MAX('PC-B4-7_DDR1'!D8:D9)-'PC-B4-7_DDR1'!D13-'PC-B4-7_DDR1'!D14-'PC-B4-7_DDR1'!D21</f>
        <v>1384</v>
      </c>
      <c r="E101" s="10" t="s">
        <v>2</v>
      </c>
      <c r="F101" s="11" t="s">
        <v>108</v>
      </c>
      <c r="H101" s="8" t="s">
        <v>107</v>
      </c>
      <c r="I101" s="5" t="s">
        <v>118</v>
      </c>
      <c r="J101" s="49">
        <f>MAX('PC-B4-7_DDR1'!D8:D9)-'PC-B4-7_DDR1'!D13-'PC-B4-7_DDR1'!D14-'PC-B4-7_DDR1'!D21</f>
        <v>1384</v>
      </c>
      <c r="K101" s="10" t="s">
        <v>2</v>
      </c>
      <c r="L101" s="11" t="s">
        <v>108</v>
      </c>
    </row>
    <row r="102" spans="2:12" ht="15.6">
      <c r="B102" s="8" t="s">
        <v>79</v>
      </c>
      <c r="C102" s="15" t="s">
        <v>80</v>
      </c>
      <c r="D102" s="60">
        <f>IF(D149="Simplified Method",36,D159)</f>
        <v>31.31</v>
      </c>
      <c r="E102" s="10" t="s">
        <v>81</v>
      </c>
      <c r="F102" s="11" t="s">
        <v>122</v>
      </c>
      <c r="H102" s="8" t="s">
        <v>79</v>
      </c>
      <c r="I102" s="15" t="s">
        <v>80</v>
      </c>
      <c r="J102" s="60">
        <f>IF(J149="Simplified Method",36,J159)</f>
        <v>29.141544117647058</v>
      </c>
      <c r="K102" s="10" t="s">
        <v>81</v>
      </c>
      <c r="L102" s="11" t="s">
        <v>122</v>
      </c>
    </row>
    <row r="103" spans="2:12" ht="30">
      <c r="B103" s="63" t="s">
        <v>110</v>
      </c>
      <c r="C103" s="64" t="s">
        <v>111</v>
      </c>
      <c r="D103" s="64">
        <f>D101*(MIN('PC-B4-7_DDR1'!D8:D9)-'PC-B4-7_DDR1'!D13-'PC-B4-7_DDR1'!D14-'PC-B4-7_DDR1'!D18)</f>
        <v>185456</v>
      </c>
      <c r="E103" s="65" t="s">
        <v>56</v>
      </c>
      <c r="F103" s="66" t="s">
        <v>119</v>
      </c>
      <c r="H103" s="63" t="s">
        <v>110</v>
      </c>
      <c r="I103" s="64" t="s">
        <v>111</v>
      </c>
      <c r="J103" s="64">
        <f>J101*(MIN('PC-B4-7_DDR1'!D8:D9)-'PC-B4-7_DDR1'!D13-'PC-B4-7_DDR1'!D14-'PC-B4-7_DDR1'!D18)</f>
        <v>185456</v>
      </c>
      <c r="K103" s="65" t="s">
        <v>56</v>
      </c>
      <c r="L103" s="66" t="s">
        <v>119</v>
      </c>
    </row>
    <row r="104" spans="2:12" ht="15.6">
      <c r="B104" s="8" t="s">
        <v>112</v>
      </c>
      <c r="C104" s="5" t="s">
        <v>113</v>
      </c>
      <c r="D104" s="60">
        <f>2*D103*((D100*'PC-B4-7_DDR1'!D26)/'PC-B4-7_DDR1'!D19)*_xlfn.COT(RADIANS(D102))*10^-6</f>
        <v>609.80328516759005</v>
      </c>
      <c r="E104" s="10" t="s">
        <v>40</v>
      </c>
      <c r="F104" s="11" t="s">
        <v>119</v>
      </c>
      <c r="H104" s="8" t="s">
        <v>112</v>
      </c>
      <c r="I104" s="5" t="s">
        <v>113</v>
      </c>
      <c r="J104" s="60">
        <f>2*J103*((J100*'PC-B4-7_DDR1'!D26)/'PC-B4-7_DDR1'!D19)*_xlfn.COT(RADIANS(J102))*10^-6</f>
        <v>665.26174993102154</v>
      </c>
      <c r="K104" s="10" t="s">
        <v>40</v>
      </c>
      <c r="L104" s="11" t="s">
        <v>119</v>
      </c>
    </row>
    <row r="105" spans="2:12" ht="16.2" thickBot="1">
      <c r="B105" s="38" t="s">
        <v>121</v>
      </c>
      <c r="C105" s="39" t="s">
        <v>52</v>
      </c>
      <c r="D105" s="59" t="str">
        <f>IF(OR(D98&lt;=D104,(D100/'PC-B4-7_DDR1'!D19)&gt;=(0.2*D101/'PC-B4-7_DDR1'!D26)),"Pass","Fail")</f>
        <v>Pass</v>
      </c>
      <c r="E105" s="46"/>
      <c r="F105" s="43" t="s">
        <v>108</v>
      </c>
      <c r="H105" s="38" t="s">
        <v>121</v>
      </c>
      <c r="I105" s="39" t="s">
        <v>52</v>
      </c>
      <c r="J105" s="59" t="str">
        <f>IF(OR(J98&lt;=J104,(J100/'PC-B4-7_DDR1'!D19)&gt;=(0.2*J101/'PC-B4-7_DDR1'!D26)),"Pass","Fail")</f>
        <v>Pass</v>
      </c>
      <c r="K105" s="46"/>
      <c r="L105" s="43" t="s">
        <v>108</v>
      </c>
    </row>
    <row r="106" spans="2:12" ht="15" thickBot="1"/>
    <row r="107" spans="2:12" ht="18.600000000000001" thickBot="1">
      <c r="B107" s="1" t="s">
        <v>98</v>
      </c>
      <c r="C107" s="2"/>
      <c r="H107" s="1" t="s">
        <v>234</v>
      </c>
      <c r="L107" s="19"/>
    </row>
    <row r="108" spans="2:12" ht="15" thickBot="1"/>
    <row r="109" spans="2:12" ht="15.6">
      <c r="B109" s="37" t="s">
        <v>99</v>
      </c>
      <c r="C109" s="6"/>
      <c r="D109" s="6"/>
      <c r="E109" s="6"/>
      <c r="F109" s="7"/>
      <c r="H109" s="125" t="s">
        <v>222</v>
      </c>
      <c r="I109" s="6"/>
      <c r="J109" s="6"/>
      <c r="K109" s="6"/>
      <c r="L109" s="7"/>
    </row>
    <row r="110" spans="2:12">
      <c r="B110" s="44" t="s">
        <v>100</v>
      </c>
      <c r="F110" s="13"/>
      <c r="H110" s="126" t="s">
        <v>223</v>
      </c>
      <c r="L110" s="13"/>
    </row>
    <row r="111" spans="2:12">
      <c r="B111" s="44" t="s">
        <v>109</v>
      </c>
      <c r="F111" s="13"/>
      <c r="H111" s="155" t="s">
        <v>323</v>
      </c>
      <c r="L111" s="13"/>
    </row>
    <row r="112" spans="2:12">
      <c r="B112" s="44" t="s">
        <v>120</v>
      </c>
      <c r="F112" s="13"/>
      <c r="H112" s="127"/>
      <c r="L112" s="13"/>
    </row>
    <row r="113" spans="2:12">
      <c r="B113" s="44" t="s">
        <v>233</v>
      </c>
      <c r="F113" s="13"/>
      <c r="H113" s="127"/>
      <c r="L113" s="13"/>
    </row>
    <row r="114" spans="2:12" ht="15" thickBot="1">
      <c r="B114" s="154" t="s">
        <v>144</v>
      </c>
      <c r="C114" s="46"/>
      <c r="D114" s="46"/>
      <c r="E114" s="46"/>
      <c r="F114" s="47"/>
      <c r="H114" s="128"/>
      <c r="I114" s="46"/>
      <c r="J114" s="46"/>
      <c r="K114" s="46"/>
      <c r="L114" s="47"/>
    </row>
    <row r="117" spans="2:12" ht="15" thickBot="1"/>
    <row r="118" spans="2:12" ht="15.6">
      <c r="B118" s="37" t="s">
        <v>172</v>
      </c>
      <c r="C118" s="21"/>
      <c r="D118" s="21"/>
      <c r="E118" s="21"/>
      <c r="F118" s="22"/>
      <c r="H118" s="37" t="s">
        <v>173</v>
      </c>
      <c r="I118" s="21"/>
      <c r="J118" s="21"/>
      <c r="K118" s="21"/>
      <c r="L118" s="22"/>
    </row>
    <row r="119" spans="2:12" ht="15.6">
      <c r="B119" s="8" t="s">
        <v>106</v>
      </c>
      <c r="C119" s="5" t="s">
        <v>105</v>
      </c>
      <c r="D119" s="49">
        <f>0.85*J103</f>
        <v>157637.6</v>
      </c>
      <c r="E119" t="s">
        <v>56</v>
      </c>
      <c r="F119" s="11" t="s">
        <v>137</v>
      </c>
      <c r="H119" s="8" t="s">
        <v>106</v>
      </c>
      <c r="I119" s="5" t="s">
        <v>105</v>
      </c>
      <c r="J119" s="49">
        <f>0.85*D103</f>
        <v>157637.6</v>
      </c>
      <c r="K119" t="s">
        <v>56</v>
      </c>
      <c r="L119" s="11" t="s">
        <v>137</v>
      </c>
    </row>
    <row r="120" spans="2:12" ht="15.6">
      <c r="B120" s="8" t="s">
        <v>44</v>
      </c>
      <c r="C120" s="5" t="s">
        <v>104</v>
      </c>
      <c r="D120" s="49">
        <f>SQRT(('PC-B4-7_DDR1'!D36^2)+((0.9*'PC-B4-7_DDR1'!D37*(D127/1000))/(2*D119*10^-6))^2)</f>
        <v>66</v>
      </c>
      <c r="E120" t="s">
        <v>46</v>
      </c>
      <c r="F120" s="11"/>
      <c r="H120" s="8" t="s">
        <v>44</v>
      </c>
      <c r="I120" s="5" t="s">
        <v>320</v>
      </c>
      <c r="J120" s="49">
        <f>SQRT(('PC-B4-7_DDR1'!D36^2)+((0.9*'PC-B4-7_DDR1'!D37*(J127/1000))/(2*J119*10^-6))^2)</f>
        <v>66</v>
      </c>
      <c r="K120" t="s">
        <v>46</v>
      </c>
      <c r="L120" s="11"/>
    </row>
    <row r="121" spans="2:12" ht="15.6">
      <c r="B121" s="8" t="s">
        <v>128</v>
      </c>
      <c r="C121" s="5" t="s">
        <v>127</v>
      </c>
      <c r="D121" s="10">
        <f>'PC-B4-7_DDR1'!D9</f>
        <v>1500</v>
      </c>
      <c r="E121" s="50" t="s">
        <v>129</v>
      </c>
      <c r="F121" s="11" t="s">
        <v>130</v>
      </c>
      <c r="H121" s="8" t="s">
        <v>128</v>
      </c>
      <c r="I121" s="5" t="s">
        <v>127</v>
      </c>
      <c r="J121" s="10">
        <f>'PC-B4-7_DDR1'!D9</f>
        <v>1500</v>
      </c>
      <c r="K121" s="50" t="s">
        <v>129</v>
      </c>
      <c r="L121" s="11" t="s">
        <v>130</v>
      </c>
    </row>
    <row r="122" spans="2:12" ht="15.6">
      <c r="B122" s="8" t="s">
        <v>132</v>
      </c>
      <c r="C122" s="5" t="s">
        <v>133</v>
      </c>
      <c r="D122" s="10">
        <f>MAX(0.72*'PC-B4-7_DDR1'!D8,0.9*'PC-B4-7_DDR1'!D11)</f>
        <v>180</v>
      </c>
      <c r="E122" s="10" t="s">
        <v>2</v>
      </c>
      <c r="F122" s="11" t="s">
        <v>21</v>
      </c>
      <c r="H122" s="8" t="s">
        <v>132</v>
      </c>
      <c r="I122" s="5" t="s">
        <v>133</v>
      </c>
      <c r="J122" s="10">
        <f>MAX(0.72*'PC-B4-7_DDR1'!D8,0.9*'PC-B4-7_DDR1'!D11)</f>
        <v>180</v>
      </c>
      <c r="K122" s="10" t="s">
        <v>2</v>
      </c>
      <c r="L122" s="11" t="s">
        <v>319</v>
      </c>
    </row>
    <row r="123" spans="2:12" ht="15.6">
      <c r="B123" s="8" t="s">
        <v>83</v>
      </c>
      <c r="C123" s="5" t="s">
        <v>84</v>
      </c>
      <c r="D123" s="49">
        <f>0.08*SQRT('PC-B4-7_DDR1'!D23)*D121/'PC-B4-7_DDR1'!D26*'PC-B4-7_DDR1'!D19</f>
        <v>339.41125496954282</v>
      </c>
      <c r="E123" s="10" t="s">
        <v>56</v>
      </c>
      <c r="F123" s="11" t="s">
        <v>131</v>
      </c>
      <c r="H123" s="8" t="s">
        <v>83</v>
      </c>
      <c r="I123" s="5" t="s">
        <v>84</v>
      </c>
      <c r="J123" s="49">
        <f>0.08*SQRT('PC-B4-7_DDR1'!D23)*J121/'PC-B4-7_DDR1'!D26*'PC-B4-7_DDR1'!D19</f>
        <v>339.41125496954282</v>
      </c>
      <c r="K123" s="10" t="s">
        <v>56</v>
      </c>
      <c r="L123" s="11" t="s">
        <v>131</v>
      </c>
    </row>
    <row r="124" spans="2:12" ht="15.6">
      <c r="B124" s="8" t="s">
        <v>141</v>
      </c>
      <c r="C124" s="5" t="s">
        <v>82</v>
      </c>
      <c r="D124" s="10">
        <f>(ROUND(PI()*'PC-B4-7_DDR1'!D18^2/4,-1))*'PC-B4-7_DDR1'!D20</f>
        <v>800</v>
      </c>
      <c r="E124" t="s">
        <v>56</v>
      </c>
      <c r="F124" s="13"/>
      <c r="H124" s="8" t="s">
        <v>141</v>
      </c>
      <c r="I124" s="5" t="s">
        <v>82</v>
      </c>
      <c r="J124" s="10">
        <f>(ROUND(PI()*'PC-B4-7_DDR1'!D18^2/4,-1))*'PC-B4-7_DDR1'!D20</f>
        <v>800</v>
      </c>
      <c r="K124" s="10" t="s">
        <v>56</v>
      </c>
      <c r="L124" s="13"/>
    </row>
    <row r="125" spans="2:12" ht="15.6">
      <c r="B125" s="8" t="s">
        <v>85</v>
      </c>
      <c r="C125" s="5" t="s">
        <v>52</v>
      </c>
      <c r="D125" s="57" t="str">
        <f>IF(D124&gt;D123,"Pass","Fail")</f>
        <v>Pass</v>
      </c>
      <c r="F125" s="14"/>
      <c r="H125" s="8" t="s">
        <v>85</v>
      </c>
      <c r="I125" s="5" t="s">
        <v>52</v>
      </c>
      <c r="J125" s="57" t="str">
        <f>IF(J124&gt;J123,"Pass","Fail")</f>
        <v>Pass</v>
      </c>
      <c r="L125" s="14"/>
    </row>
    <row r="126" spans="2:12" ht="15.6">
      <c r="B126" s="8" t="s">
        <v>75</v>
      </c>
      <c r="C126" s="5" t="s">
        <v>76</v>
      </c>
      <c r="D126" s="61">
        <f>0.55*(0.9*'PC-B4-7_DDR1'!D23*D121*D122*(((_xlfn.COT(RADIANS(J102)))+0)/(1+(_xlfn.COT(RADIANS(J102)))^2)))*10^-3*IF(D125="Pass",0.75,0.7)</f>
        <v>2131.6906973547134</v>
      </c>
      <c r="E126" s="50" t="s">
        <v>46</v>
      </c>
      <c r="F126" s="11" t="s">
        <v>135</v>
      </c>
      <c r="H126" s="8" t="s">
        <v>75</v>
      </c>
      <c r="I126" s="5" t="s">
        <v>76</v>
      </c>
      <c r="J126" s="61">
        <f>0.55*(0.9*'PC-B4-7_DDR1'!D23*J121*J122*(((_xlfn.COT(RADIANS(D102)))+0)/(1+(_xlfn.COT(RADIANS(D102)))^2)))*10^-3*IF(J125="Pass",0.75,0.7)</f>
        <v>2225.212285012155</v>
      </c>
      <c r="K126" s="50" t="s">
        <v>46</v>
      </c>
      <c r="L126" s="11" t="s">
        <v>135</v>
      </c>
    </row>
    <row r="127" spans="2:12" ht="15.6">
      <c r="B127" s="52" t="s">
        <v>316</v>
      </c>
      <c r="C127" s="48"/>
      <c r="D127" s="62">
        <f>J101*2+(MIN('PC-B4-7_DDR1'!D8:D9)-'PC-B4-7_DDR1'!D14-'PC-B4-7_DDR1'!D14-'PC-B4-7_DDR1'!D21)*2</f>
        <v>2976</v>
      </c>
      <c r="E127" t="s">
        <v>2</v>
      </c>
      <c r="F127" s="55" t="s">
        <v>179</v>
      </c>
      <c r="H127" s="52" t="s">
        <v>322</v>
      </c>
      <c r="I127" s="33"/>
      <c r="J127" s="62">
        <f>D101*2+(MIN('PC-B4-7_DDR1'!D8:D9)-'PC-B4-7_DDR1'!D13-'PC-B4-7_DDR1'!D14-'PC-B4-7_DDR1'!D21)*2</f>
        <v>3036</v>
      </c>
      <c r="K127" s="50" t="s">
        <v>2</v>
      </c>
      <c r="L127" s="55" t="s">
        <v>179</v>
      </c>
    </row>
    <row r="128" spans="2:12" ht="15.6">
      <c r="B128" s="53"/>
      <c r="C128" s="54" t="s">
        <v>136</v>
      </c>
      <c r="D128" s="58" t="str">
        <f>IF(D126*1000/(D121*D122)&gt;=SQRT((('PC-B4-7_DDR1'!D36*1000/(D121*D122))^2)+(('PC-B4-7_DDR1'!D37*1000000*D127)/(1.7*J103^2))^2),"Pass","Fail")</f>
        <v>Pass</v>
      </c>
      <c r="E128" s="10"/>
      <c r="F128" s="55" t="s">
        <v>179</v>
      </c>
      <c r="H128" s="53"/>
      <c r="I128" s="54" t="s">
        <v>136</v>
      </c>
      <c r="J128" s="58" t="str">
        <f>IF(J126*1000/(J121*J122)&gt;=SQRT((('PC-B4-7_DDR1'!D36*1000/(J121*J122))^2)+(('PC-B4-7_DDR1'!D37*1000000*J127)/(1.7*D103^2))^2),"Pass","Fail")</f>
        <v>Pass</v>
      </c>
      <c r="K128" s="10"/>
      <c r="L128" s="55" t="s">
        <v>179</v>
      </c>
    </row>
    <row r="129" spans="2:12" ht="15.6">
      <c r="B129" s="8" t="s">
        <v>138</v>
      </c>
      <c r="C129" s="5" t="s">
        <v>139</v>
      </c>
      <c r="D129" s="56">
        <f>IF(D149="Simplified Method",0.15,D158)</f>
        <v>0.26755852842809363</v>
      </c>
      <c r="E129" s="10"/>
      <c r="F129" s="11" t="s">
        <v>140</v>
      </c>
      <c r="H129" s="8" t="s">
        <v>138</v>
      </c>
      <c r="I129" s="5" t="s">
        <v>139</v>
      </c>
      <c r="J129" s="56">
        <f>IF(J149="Simplified Method",0.15,J158)</f>
        <v>0.38822479928635151</v>
      </c>
      <c r="K129" s="10"/>
      <c r="L129" s="11" t="s">
        <v>140</v>
      </c>
    </row>
    <row r="130" spans="2:12" ht="15.6">
      <c r="B130" s="8" t="s">
        <v>77</v>
      </c>
      <c r="C130" s="5" t="s">
        <v>78</v>
      </c>
      <c r="D130" s="61">
        <f>D129*D121*D122*SQRT('PC-B4-7_DDR1'!D23)*10^-3*IF(J125="Pass",0.75,0.7)</f>
        <v>383.11471087699238</v>
      </c>
      <c r="E130" s="10" t="s">
        <v>46</v>
      </c>
      <c r="F130" s="11" t="s">
        <v>142</v>
      </c>
      <c r="H130" s="8" t="s">
        <v>77</v>
      </c>
      <c r="I130" s="5" t="s">
        <v>78</v>
      </c>
      <c r="J130" s="61">
        <f>J129*J121*J122*SQRT('PC-B4-7_DDR1'!D23)*10^-3*IF(J125="Pass",0.75,0.7)</f>
        <v>555.89568610533513</v>
      </c>
      <c r="K130" s="10" t="s">
        <v>46</v>
      </c>
      <c r="L130" s="11" t="s">
        <v>142</v>
      </c>
    </row>
    <row r="131" spans="2:12" ht="15.6">
      <c r="B131" s="8" t="s">
        <v>86</v>
      </c>
      <c r="C131" s="5" t="s">
        <v>87</v>
      </c>
      <c r="D131" s="61">
        <f>((D124*'PC-B4-7_DDR1'!D26*D122/'PC-B4-7_DDR1'!D19)*_xlfn.COT(RADIANS(J102)))*10^-3*IF(J125="Pass",0.75,0.7)</f>
        <v>484.26762272823703</v>
      </c>
      <c r="E131" s="10" t="s">
        <v>46</v>
      </c>
      <c r="F131" s="11" t="s">
        <v>88</v>
      </c>
      <c r="H131" s="8" t="s">
        <v>86</v>
      </c>
      <c r="I131" s="5" t="s">
        <v>87</v>
      </c>
      <c r="J131" s="61">
        <f>((J124*'PC-B4-7_DDR1'!D26*J122/'PC-B4-7_DDR1'!D19)*_xlfn.COT(RADIANS(D102)))*10^-3*IF(J125="Pass",0.75,0.7)</f>
        <v>443.89743927198174</v>
      </c>
      <c r="K131" s="10" t="s">
        <v>46</v>
      </c>
      <c r="L131" s="11" t="s">
        <v>88</v>
      </c>
    </row>
    <row r="132" spans="2:12" ht="15.6">
      <c r="B132" s="8" t="s">
        <v>89</v>
      </c>
      <c r="C132" s="15" t="s">
        <v>90</v>
      </c>
      <c r="D132" s="72">
        <f>(D130+D131)</f>
        <v>867.38233360522941</v>
      </c>
      <c r="E132" s="10" t="s">
        <v>46</v>
      </c>
      <c r="F132" s="11" t="s">
        <v>91</v>
      </c>
      <c r="H132" s="8" t="s">
        <v>89</v>
      </c>
      <c r="I132" s="15" t="s">
        <v>90</v>
      </c>
      <c r="J132" s="72">
        <f>(J130+J131)</f>
        <v>999.79312537731687</v>
      </c>
      <c r="K132" s="10" t="s">
        <v>46</v>
      </c>
      <c r="L132" s="11" t="s">
        <v>91</v>
      </c>
    </row>
    <row r="133" spans="2:12" ht="15.6">
      <c r="B133" s="8" t="s">
        <v>143</v>
      </c>
      <c r="C133" s="5" t="s">
        <v>52</v>
      </c>
      <c r="D133" s="57" t="str">
        <f>IF(D132&gt;D120,"Pass","Fail")</f>
        <v>Pass</v>
      </c>
      <c r="E133" s="10"/>
      <c r="F133" s="14"/>
      <c r="H133" s="8" t="s">
        <v>143</v>
      </c>
      <c r="I133" s="5" t="s">
        <v>52</v>
      </c>
      <c r="J133" s="57" t="str">
        <f>IF(J132&gt;J120,"Pass","Fail")</f>
        <v>Pass</v>
      </c>
      <c r="K133" s="10"/>
      <c r="L133" s="14"/>
    </row>
    <row r="134" spans="2:12" ht="15.6">
      <c r="B134" s="8" t="s">
        <v>203</v>
      </c>
      <c r="C134" s="5" t="s">
        <v>204</v>
      </c>
      <c r="D134" s="61">
        <f>0.5*(D36+D130)*_xlfn.COT(RADIANS(J102))+0.5*D37*(D127/(2*D119))*10^-3*_xlfn.COT(RADIANS(D102))</f>
        <v>402.76243216422324</v>
      </c>
      <c r="E134" s="10" t="s">
        <v>46</v>
      </c>
      <c r="F134" s="11" t="s">
        <v>205</v>
      </c>
      <c r="H134" s="8" t="s">
        <v>203</v>
      </c>
      <c r="I134" s="5" t="s">
        <v>204</v>
      </c>
      <c r="J134" s="61">
        <f>0.5*(D36+J130)*_xlfn.COT(RADIANS(D102))+0.5*D37*(J127/(2*J119))*10^-3*_xlfn.COT(RADIANS(D102))</f>
        <v>511.21833806750078</v>
      </c>
      <c r="K134" s="10" t="s">
        <v>46</v>
      </c>
      <c r="L134" s="11" t="s">
        <v>205</v>
      </c>
    </row>
    <row r="135" spans="2:12" ht="15.6">
      <c r="B135" s="8" t="s">
        <v>206</v>
      </c>
      <c r="C135" s="5" t="s">
        <v>207</v>
      </c>
      <c r="D135" s="61">
        <f>(J55*'PC-B4-7_DDR1'!D54*'PC-B4-7_DDR1'!J53)+('PC-B4-7_DDR1'!J53-J55*'PC-B4-7_DDR1'!J53)</f>
        <v>170.72529601082994</v>
      </c>
      <c r="E135" s="10" t="s">
        <v>2</v>
      </c>
      <c r="F135" s="11" t="s">
        <v>208</v>
      </c>
      <c r="H135" s="8" t="s">
        <v>206</v>
      </c>
      <c r="I135" s="5" t="s">
        <v>207</v>
      </c>
      <c r="J135" s="61">
        <f>('PC-B4-7_DDR1'!J55*'PC-B4-7_DDR1'!D54*'PC-B4-7_DDR1'!D50)+('PC-B4-7_DDR1'!D50-'PC-B4-7_DDR1'!J55*'PC-B4-7_DDR1'!D50)</f>
        <v>114.52449503344286</v>
      </c>
      <c r="K135" s="10" t="s">
        <v>2</v>
      </c>
      <c r="L135" s="11" t="s">
        <v>208</v>
      </c>
    </row>
    <row r="136" spans="2:12" ht="15.6">
      <c r="B136" s="8" t="s">
        <v>209</v>
      </c>
      <c r="C136" s="5" t="s">
        <v>210</v>
      </c>
      <c r="D136" s="61">
        <f>(D34/(D135/1000))+(-'PC-B4-7_DDR1'!D35/2)+D134</f>
        <v>402.76243216422324</v>
      </c>
      <c r="E136" s="10" t="s">
        <v>46</v>
      </c>
      <c r="F136" s="11" t="s">
        <v>211</v>
      </c>
      <c r="H136" s="8" t="s">
        <v>209</v>
      </c>
      <c r="I136" s="5" t="s">
        <v>210</v>
      </c>
      <c r="J136" s="61">
        <f>(D33/(J135/1000))+(-'PC-B4-7_DDR1'!D35/2)+J134</f>
        <v>1052.5872389466977</v>
      </c>
      <c r="K136" s="10" t="s">
        <v>46</v>
      </c>
      <c r="L136" s="11" t="s">
        <v>211</v>
      </c>
    </row>
    <row r="137" spans="2:12" ht="15.6">
      <c r="B137" s="8" t="s">
        <v>212</v>
      </c>
      <c r="C137" s="5" t="s">
        <v>213</v>
      </c>
      <c r="D137" s="56">
        <f>'PC-B4-7_DDR1'!D30+((0.85-'PC-B4-7_DDR1'!D30)*(D136/('PC-B4-7_DDR1'!D52*'PC-B4-7_DDR1'!D25*10^-3)))</f>
        <v>0.84027624321642236</v>
      </c>
      <c r="E137" s="10"/>
      <c r="F137" s="11" t="s">
        <v>214</v>
      </c>
      <c r="H137" s="8" t="s">
        <v>212</v>
      </c>
      <c r="I137" s="5" t="s">
        <v>213</v>
      </c>
      <c r="J137" s="56">
        <f>'PC-B4-7_DDR1'!D30+((0.85-'PC-B4-7_DDR1'!D30)*(J136/('PC-B4-7_DDR1'!D51*'PC-B4-7_DDR1'!D25*10^-3)))</f>
        <v>0.80644967670923229</v>
      </c>
      <c r="K137" s="10"/>
      <c r="L137" s="11" t="s">
        <v>214</v>
      </c>
    </row>
    <row r="138" spans="2:12" ht="15.6">
      <c r="B138" s="8" t="s">
        <v>215</v>
      </c>
      <c r="C138" s="5" t="s">
        <v>55</v>
      </c>
      <c r="D138" s="61">
        <f>((D136*1000)/D137)/'PC-B4-7_DDR1'!D24</f>
        <v>958.64291157994171</v>
      </c>
      <c r="E138" s="10" t="s">
        <v>56</v>
      </c>
      <c r="F138" s="11" t="s">
        <v>211</v>
      </c>
      <c r="H138" s="8" t="s">
        <v>215</v>
      </c>
      <c r="I138" s="5" t="s">
        <v>55</v>
      </c>
      <c r="J138" s="61">
        <f>((J136*1000)/J137)/'PC-B4-7_DDR1'!D24</f>
        <v>2610.4226199007107</v>
      </c>
      <c r="K138" s="10" t="s">
        <v>56</v>
      </c>
      <c r="L138" s="11" t="s">
        <v>211</v>
      </c>
    </row>
    <row r="139" spans="2:12" ht="15.6">
      <c r="B139" s="8" t="s">
        <v>216</v>
      </c>
      <c r="C139" s="5"/>
      <c r="D139" s="58" t="str">
        <f>IF(D138&lt;D152,"Pass","Fail")</f>
        <v>Pass</v>
      </c>
      <c r="E139" s="114"/>
      <c r="F139" s="13"/>
      <c r="H139" s="8" t="s">
        <v>216</v>
      </c>
      <c r="I139" s="5"/>
      <c r="J139" s="58" t="str">
        <f>IF(J138&lt;J152,"Pass","Fail")</f>
        <v>Pass</v>
      </c>
      <c r="K139" s="114"/>
      <c r="L139" s="13"/>
    </row>
    <row r="140" spans="2:12" ht="15.6">
      <c r="B140" s="178" t="s">
        <v>228</v>
      </c>
      <c r="C140" s="179"/>
      <c r="D140" s="179"/>
      <c r="E140" s="179"/>
      <c r="F140" s="180"/>
      <c r="H140" s="178" t="s">
        <v>228</v>
      </c>
      <c r="I140" s="179"/>
      <c r="J140" s="179"/>
      <c r="K140" s="179"/>
      <c r="L140" s="180"/>
    </row>
    <row r="141" spans="2:12" ht="15.6">
      <c r="B141" s="8" t="s">
        <v>217</v>
      </c>
      <c r="C141" s="5" t="s">
        <v>218</v>
      </c>
      <c r="D141" s="61">
        <f>(-D154/(D135/1000))+('PC-B4-7_DDR1'!D35/2)+D134</f>
        <v>333.17696195220265</v>
      </c>
      <c r="E141" s="10" t="s">
        <v>46</v>
      </c>
      <c r="F141" s="11" t="s">
        <v>219</v>
      </c>
      <c r="H141" s="8" t="s">
        <v>217</v>
      </c>
      <c r="I141" s="5" t="s">
        <v>218</v>
      </c>
      <c r="J141" s="61">
        <f>(-J154/(J135/1000))+('PC-B4-7_DDR1'!D35/2)+J134</f>
        <v>407.48507125387403</v>
      </c>
      <c r="K141" s="10" t="s">
        <v>46</v>
      </c>
      <c r="L141" s="11" t="s">
        <v>219</v>
      </c>
    </row>
    <row r="142" spans="2:12" ht="15.6">
      <c r="B142" s="8" t="s">
        <v>212</v>
      </c>
      <c r="C142" s="5" t="s">
        <v>213</v>
      </c>
      <c r="D142" s="56">
        <f>'PC-B4-7_DDR1'!D30</f>
        <v>0.8</v>
      </c>
      <c r="F142" s="11" t="s">
        <v>214</v>
      </c>
      <c r="H142" s="8" t="s">
        <v>212</v>
      </c>
      <c r="I142" s="5" t="s">
        <v>213</v>
      </c>
      <c r="J142" s="56">
        <f>'PC-B4-7_DDR1'!D30</f>
        <v>0.8</v>
      </c>
      <c r="L142" s="11" t="s">
        <v>214</v>
      </c>
    </row>
    <row r="143" spans="2:12" ht="15.6">
      <c r="B143" s="8" t="s">
        <v>220</v>
      </c>
      <c r="C143" s="5" t="s">
        <v>221</v>
      </c>
      <c r="D143" s="61">
        <f>(D141*1000)/D142/'PC-B4-7_DDR1'!D24</f>
        <v>832.94240488050661</v>
      </c>
      <c r="E143" s="10" t="s">
        <v>56</v>
      </c>
      <c r="F143" s="11" t="s">
        <v>219</v>
      </c>
      <c r="H143" s="8" t="s">
        <v>220</v>
      </c>
      <c r="I143" s="5" t="s">
        <v>221</v>
      </c>
      <c r="J143" s="61">
        <f>(J141*1000)/J142/'PC-B4-7_DDR1'!D24</f>
        <v>1018.712678134685</v>
      </c>
      <c r="K143" s="10" t="s">
        <v>56</v>
      </c>
      <c r="L143" s="11" t="s">
        <v>219</v>
      </c>
    </row>
    <row r="144" spans="2:12" ht="16.2" thickBot="1">
      <c r="B144" s="38" t="s">
        <v>216</v>
      </c>
      <c r="C144" s="39"/>
      <c r="D144" s="115" t="str">
        <f>IF(J143&lt;(SUM('PC-B4-7_DDR1'!H34:H38)*(ROUND(PI()*'PC-B4-7_DDR1'!D16^2*0.25,-1))),"Pass","Fail")</f>
        <v>Pass</v>
      </c>
      <c r="E144" s="116"/>
      <c r="F144" s="47"/>
      <c r="H144" s="38" t="s">
        <v>216</v>
      </c>
      <c r="I144" s="39"/>
      <c r="J144" s="115" t="str">
        <f>IF(J143&lt;(SUM('PC-B4-7_DDR1'!H27:H31)*(ROUND(PI()*'PC-B4-7_DDR1'!D15^2*0.25,-1))),"Pass","Fail")</f>
        <v>Fail</v>
      </c>
      <c r="K144" s="116"/>
      <c r="L144" s="47"/>
    </row>
    <row r="145" spans="2:12" ht="15" thickBot="1"/>
    <row r="146" spans="2:12" ht="18.600000000000001" thickBot="1">
      <c r="B146" s="1" t="s">
        <v>180</v>
      </c>
      <c r="F146" s="19"/>
      <c r="L146" s="19"/>
    </row>
    <row r="147" spans="2:12" ht="15" thickBot="1"/>
    <row r="148" spans="2:12">
      <c r="B148" s="106"/>
      <c r="C148" s="6"/>
      <c r="D148" s="6"/>
      <c r="E148" s="6"/>
      <c r="F148" s="7"/>
      <c r="H148" s="106"/>
      <c r="I148" s="6"/>
      <c r="J148" s="6"/>
      <c r="K148" s="6"/>
      <c r="L148" s="7"/>
    </row>
    <row r="149" spans="2:12" ht="15.6">
      <c r="B149" s="8" t="s">
        <v>181</v>
      </c>
      <c r="D149" s="181" t="s">
        <v>321</v>
      </c>
      <c r="E149" s="181"/>
      <c r="F149" s="107" t="str">
        <f>IF(D149="Simplified Method","[cl.8.2.4.3]","[cl.8.2.4.2]")</f>
        <v>[cl.8.2.4.2]</v>
      </c>
      <c r="H149" s="8" t="s">
        <v>181</v>
      </c>
      <c r="J149" s="181" t="s">
        <v>321</v>
      </c>
      <c r="K149" s="181"/>
      <c r="L149" s="107" t="str">
        <f>IF(J149="Simplified Method","[cl.8.2.4.3]","[cl.8.2.4.2]")</f>
        <v>[cl.8.2.4.2]</v>
      </c>
    </row>
    <row r="150" spans="2:12" ht="15.6">
      <c r="B150" s="8" t="s">
        <v>182</v>
      </c>
      <c r="C150" s="108" t="s">
        <v>183</v>
      </c>
      <c r="D150" s="70">
        <f>IF('PC-B4-7_DDR1'!D23&lt;=65,IF('PC-B4-7_DDR1'!D28&gt;=16,1,MAX(32/(16+'PC-B4-7_DDR1'!D28),0.8)),2)</f>
        <v>1</v>
      </c>
      <c r="E150" s="70"/>
      <c r="F150" s="11" t="s">
        <v>184</v>
      </c>
      <c r="H150" s="8" t="s">
        <v>182</v>
      </c>
      <c r="I150" s="108" t="s">
        <v>183</v>
      </c>
      <c r="J150" s="70">
        <f>IF('PC-B4-7_DDR1'!D23&lt;=65,IF('PC-B4-7_DDR1'!D28&gt;=16,1,MAX(32/(16+'PC-B4-7_DDR1'!D28),0.8)),2)</f>
        <v>1</v>
      </c>
      <c r="K150" s="70"/>
      <c r="L150" s="11" t="s">
        <v>184</v>
      </c>
    </row>
    <row r="151" spans="2:12" ht="15.6">
      <c r="B151" s="8" t="s">
        <v>185</v>
      </c>
      <c r="C151" s="108"/>
      <c r="D151" s="57" t="str">
        <f>IF(J99="Fail","Yes","No")</f>
        <v>No</v>
      </c>
      <c r="E151" s="70"/>
      <c r="F151" s="13"/>
      <c r="H151" s="8" t="s">
        <v>185</v>
      </c>
      <c r="I151" s="108"/>
      <c r="J151" s="57" t="str">
        <f>IF(D99="Fail","Yes","No")</f>
        <v>No</v>
      </c>
      <c r="K151" s="70"/>
      <c r="L151" s="13"/>
    </row>
    <row r="152" spans="2:12" ht="15.6">
      <c r="B152" s="8" t="s">
        <v>186</v>
      </c>
      <c r="C152" s="108" t="s">
        <v>55</v>
      </c>
      <c r="D152" s="71">
        <f>'PC-B4-7_DDR1'!D52</f>
        <v>1000</v>
      </c>
      <c r="E152" s="70" t="s">
        <v>56</v>
      </c>
      <c r="F152" s="11" t="s">
        <v>187</v>
      </c>
      <c r="H152" s="8" t="s">
        <v>186</v>
      </c>
      <c r="I152" s="108" t="s">
        <v>55</v>
      </c>
      <c r="J152" s="71">
        <f>'PC-B4-7_DDR1'!D51</f>
        <v>16320</v>
      </c>
      <c r="K152" s="70" t="s">
        <v>56</v>
      </c>
      <c r="L152" s="11" t="s">
        <v>187</v>
      </c>
    </row>
    <row r="153" spans="2:12" ht="15.6">
      <c r="B153" s="8" t="s">
        <v>188</v>
      </c>
      <c r="C153" s="108" t="s">
        <v>189</v>
      </c>
      <c r="D153" s="70">
        <f>J96/2-'PC-B4-7_DDR1'!D52</f>
        <v>186500</v>
      </c>
      <c r="E153" s="70" t="s">
        <v>56</v>
      </c>
      <c r="F153" s="11" t="s">
        <v>187</v>
      </c>
      <c r="H153" s="8" t="s">
        <v>188</v>
      </c>
      <c r="I153" s="108" t="s">
        <v>189</v>
      </c>
      <c r="J153" s="70">
        <f>D96/2-'PC-B4-7_DDR1'!D51</f>
        <v>171180</v>
      </c>
      <c r="K153" s="70" t="s">
        <v>56</v>
      </c>
      <c r="L153" s="11" t="s">
        <v>187</v>
      </c>
    </row>
    <row r="154" spans="2:12" ht="15.6">
      <c r="B154" s="8" t="s">
        <v>190</v>
      </c>
      <c r="C154" s="108" t="s">
        <v>191</v>
      </c>
      <c r="D154" s="118">
        <f>IF(D151="Yes",IF('PC-B4-7_DDR1'!J34&gt;=(D122/1000)*SQRT(('PC-B4-7_DDR1'!D36^2)+((0.9*'PC-B4-7_DDR1'!D37*D127/1000)/(2*D119/1000000))^2),'PC-B4-7_DDR1'!D34,(D122/1000)*SQRT(('PC-B4-7_DDR1'!D36^2)+((0.9*'PC-B4-7_DDR1'!D37*D127/1000)/(2*D119/1000000))^2)),IF('PC-B4-7_DDR1'!D34&gt;=('PC-B4-7_DDR1'!D36*D122/1000),'PC-B4-7_DDR1'!D34,('PC-B4-7_DDR1'!D36*D122/1000)))</f>
        <v>11.88</v>
      </c>
      <c r="E154" s="70" t="s">
        <v>192</v>
      </c>
      <c r="F154" s="11" t="s">
        <v>187</v>
      </c>
      <c r="H154" s="8" t="s">
        <v>190</v>
      </c>
      <c r="I154" s="108" t="s">
        <v>191</v>
      </c>
      <c r="J154" s="118">
        <f>IF(J151="Yes",IF('PC-B4-7_DDR1'!D34&gt;=(J122/1000)*SQRT(('PC-B4-7_DDR1'!D36^2)+((0.9*'PC-B4-7_DDR1'!D37*J127/1000)/(2*J119/1000000))^2),'PC-B4-7_DDR1'!D34,(J122/1000)*SQRT(('PC-B4-7_DDR1'!D36^2)+((0.9*'PC-B4-7_DDR1'!D37*J127/1000)/(2*J119/1000000))^2)),IF('PC-B4-7_DDR1'!D34&gt;=('PC-B4-7_DDR1'!D36*J122/1000),'PC-B4-7_DDR1'!D34,('PC-B4-7_DDR1'!D36*J122/1000)))</f>
        <v>11.88</v>
      </c>
      <c r="K154" s="70" t="s">
        <v>192</v>
      </c>
      <c r="L154" s="11" t="s">
        <v>187</v>
      </c>
    </row>
    <row r="155" spans="2:12" ht="15.6">
      <c r="B155" s="8" t="s">
        <v>193</v>
      </c>
      <c r="C155" s="108" t="s">
        <v>194</v>
      </c>
      <c r="D155" s="70">
        <f>IF(D151="Yes",ABS(D154/(D122/1000))+SQRT((ABS('PC-B4-7_DDR1'!D36)^2)+((0.9*'PC-B4-7_DDR1'!D37*D127/1000)/(2*D119/1000000))^2)+0.5*(-1*'PC-B4-7_DDR1'!D35),ABS(D154/(D122/1000))+ABS('PC-B4-7_DDR1'!D36)+0.5*(-1*'PC-B4-7_DDR1'!D35))</f>
        <v>132</v>
      </c>
      <c r="E155" s="70" t="s">
        <v>46</v>
      </c>
      <c r="F155" s="11" t="s">
        <v>187</v>
      </c>
      <c r="H155" s="8" t="s">
        <v>193</v>
      </c>
      <c r="I155" s="108" t="s">
        <v>194</v>
      </c>
      <c r="J155" s="117">
        <f>IF(J151="Yes",ABS(J154/(J122/1000))+SQRT((ABS('PC-B4-7_DDR1'!D36)^2)+((0.9*'PC-B4-7_DDR1'!D37*J127/1000)/(2*J119/1000000))^2)+0.5*(-1*'PC-B4-7_DDR1'!D35),ABS(J154/(J122/1000))+ABS('PC-B4-7_DDR1'!D36)+0.5*(-1*'PC-B4-7_DDR1'!D35))</f>
        <v>132</v>
      </c>
      <c r="K155" s="70" t="s">
        <v>46</v>
      </c>
      <c r="L155" s="11" t="s">
        <v>187</v>
      </c>
    </row>
    <row r="156" spans="2:12" ht="15.6">
      <c r="B156" s="8" t="s">
        <v>195</v>
      </c>
      <c r="C156" s="108" t="s">
        <v>196</v>
      </c>
      <c r="D156" s="109">
        <f>MIN(D155*1000/(2*('PC-B4-7_DDR1'!D27*'PC-B4-7_DDR1'!D52)),3*10^-3)</f>
        <v>3.3E-4</v>
      </c>
      <c r="E156" s="70" t="s">
        <v>197</v>
      </c>
      <c r="F156" s="11" t="s">
        <v>187</v>
      </c>
      <c r="H156" s="8" t="s">
        <v>195</v>
      </c>
      <c r="I156" s="108" t="s">
        <v>196</v>
      </c>
      <c r="J156" s="109">
        <f>MIN(J155*1000/(2*('PC-B4-7_DDR1'!D27*'PC-B4-7_DDR1'!D51)),3*10^-3)</f>
        <v>2.0220588235294119E-5</v>
      </c>
      <c r="K156" s="70" t="s">
        <v>197</v>
      </c>
      <c r="L156" s="11" t="s">
        <v>187</v>
      </c>
    </row>
    <row r="157" spans="2:12" ht="15.6">
      <c r="B157" s="8" t="s">
        <v>198</v>
      </c>
      <c r="C157" s="108" t="s">
        <v>196</v>
      </c>
      <c r="D157" s="109">
        <f>IF(D156&lt;0,MAX(D155*1000/(2*('PC-B4-7_DDR1'!D27*D152+J169*D153)),-0.2*10^-3),D156)</f>
        <v>3.3E-4</v>
      </c>
      <c r="E157" s="70" t="s">
        <v>197</v>
      </c>
      <c r="F157" s="11" t="s">
        <v>187</v>
      </c>
      <c r="H157" s="8" t="s">
        <v>198</v>
      </c>
      <c r="I157" s="108" t="s">
        <v>196</v>
      </c>
      <c r="J157" s="109">
        <f>IF(J156&lt;0,MAX(J155*1000/(2*('PC-B4-7_DDR1'!D27*J152+D169*J153)),-0.2*10^-3),J156)</f>
        <v>2.0220588235294119E-5</v>
      </c>
      <c r="K157" s="70" t="s">
        <v>197</v>
      </c>
      <c r="L157" s="11" t="s">
        <v>187</v>
      </c>
    </row>
    <row r="158" spans="2:12" ht="15.6">
      <c r="B158" s="8" t="s">
        <v>199</v>
      </c>
      <c r="C158" s="108" t="s">
        <v>139</v>
      </c>
      <c r="D158" s="110">
        <f>IF(D125="Pass",(0.4/(1+1500*D157)),(0.4/(1+1500*D157))*(1300/(1000+D150*D122)))</f>
        <v>0.26755852842809363</v>
      </c>
      <c r="E158" s="70"/>
      <c r="F158" s="11" t="str">
        <f>F149</f>
        <v>[cl.8.2.4.2]</v>
      </c>
      <c r="H158" s="8" t="s">
        <v>199</v>
      </c>
      <c r="I158" s="108" t="s">
        <v>139</v>
      </c>
      <c r="J158" s="110">
        <f>IF(J125="Pass",(0.4/(1+1500*J157)),(0.4/(1+1500*J157))*(1300/(1000+J150*J122)))</f>
        <v>0.38822479928635151</v>
      </c>
      <c r="K158" s="70"/>
      <c r="L158" s="11" t="str">
        <f>L149</f>
        <v>[cl.8.2.4.2]</v>
      </c>
    </row>
    <row r="159" spans="2:12" ht="16.2" thickBot="1">
      <c r="B159" s="38" t="s">
        <v>200</v>
      </c>
      <c r="C159" s="111" t="s">
        <v>201</v>
      </c>
      <c r="D159" s="112">
        <f>(29+7000*D157)</f>
        <v>31.31</v>
      </c>
      <c r="E159" s="113" t="s">
        <v>202</v>
      </c>
      <c r="F159" s="43" t="str">
        <f>F158</f>
        <v>[cl.8.2.4.2]</v>
      </c>
      <c r="H159" s="38" t="s">
        <v>200</v>
      </c>
      <c r="I159" s="111" t="s">
        <v>201</v>
      </c>
      <c r="J159" s="112">
        <f>(29+7000*J157)</f>
        <v>29.141544117647058</v>
      </c>
      <c r="K159" s="113" t="s">
        <v>202</v>
      </c>
      <c r="L159" s="43" t="str">
        <f>L158</f>
        <v>[cl.8.2.4.2]</v>
      </c>
    </row>
    <row r="160" spans="2:12" ht="15" thickBot="1"/>
    <row r="161" spans="2:12" ht="18.600000000000001" thickBot="1">
      <c r="B161" s="176" t="s">
        <v>164</v>
      </c>
      <c r="C161" s="177"/>
    </row>
    <row r="162" spans="2:12" ht="15" thickBot="1"/>
    <row r="163" spans="2:12" ht="15.6">
      <c r="B163" s="37" t="s">
        <v>99</v>
      </c>
      <c r="C163" s="6"/>
      <c r="D163" s="6"/>
      <c r="E163" s="6"/>
      <c r="F163" s="7"/>
    </row>
    <row r="164" spans="2:12">
      <c r="B164" s="44" t="s">
        <v>100</v>
      </c>
      <c r="F164" s="13"/>
    </row>
    <row r="165" spans="2:12">
      <c r="B165" s="44" t="s">
        <v>109</v>
      </c>
      <c r="F165" s="13"/>
    </row>
    <row r="166" spans="2:12" ht="15" thickBot="1">
      <c r="B166" s="122" t="s">
        <v>315</v>
      </c>
      <c r="C166" s="46"/>
      <c r="D166" s="46"/>
      <c r="E166" s="46"/>
      <c r="F166" s="47"/>
    </row>
    <row r="167" spans="2:12" ht="15" thickBot="1"/>
    <row r="168" spans="2:12" ht="15.6">
      <c r="B168" s="37" t="s">
        <v>172</v>
      </c>
      <c r="C168" s="21"/>
      <c r="D168" s="21"/>
      <c r="E168" s="21"/>
      <c r="F168" s="22"/>
      <c r="H168" s="37" t="s">
        <v>173</v>
      </c>
      <c r="I168" s="21"/>
      <c r="J168" s="21"/>
      <c r="K168" s="21"/>
      <c r="L168" s="22"/>
    </row>
    <row r="169" spans="2:12" ht="15.6">
      <c r="B169" s="80" t="s">
        <v>146</v>
      </c>
      <c r="C169" s="5" t="s">
        <v>147</v>
      </c>
      <c r="D169" s="73">
        <f>(('PC-B4-7_DDR1'!$D$10*100)^1.5)*0.043*SQRT('PC-B4-7_DDR1'!D23)</f>
        <v>38006.989488776897</v>
      </c>
      <c r="E169" s="10"/>
      <c r="F169" s="11"/>
      <c r="H169" s="80" t="s">
        <v>146</v>
      </c>
      <c r="I169" s="5" t="s">
        <v>147</v>
      </c>
      <c r="J169" s="73">
        <f>(('PC-B4-7_DDR1'!$D$10*100)^1.5)*0.043*SQRT('PC-B4-7_DDR1'!D23)</f>
        <v>38006.989488776897</v>
      </c>
      <c r="K169" s="10"/>
      <c r="L169" s="11"/>
    </row>
    <row r="170" spans="2:12" ht="15.6">
      <c r="B170" s="8" t="s">
        <v>148</v>
      </c>
      <c r="C170" s="5" t="s">
        <v>149</v>
      </c>
      <c r="D170" s="42">
        <f>0.6*'PC-B4-7_DDR1'!D23</f>
        <v>30</v>
      </c>
      <c r="E170" s="10" t="s">
        <v>25</v>
      </c>
      <c r="F170" s="11" t="s">
        <v>150</v>
      </c>
      <c r="G170" t="s">
        <v>336</v>
      </c>
      <c r="H170" s="8" t="s">
        <v>148</v>
      </c>
      <c r="I170" s="5" t="s">
        <v>149</v>
      </c>
      <c r="J170" s="42">
        <f>0.6*'PC-B4-7_DDR1'!D23</f>
        <v>30</v>
      </c>
      <c r="K170" s="10" t="s">
        <v>25</v>
      </c>
      <c r="L170" s="11" t="s">
        <v>150</v>
      </c>
    </row>
    <row r="171" spans="2:12" ht="15.6">
      <c r="B171" s="8" t="s">
        <v>151</v>
      </c>
      <c r="C171" s="5" t="s">
        <v>152</v>
      </c>
      <c r="D171" s="42">
        <f>J22</f>
        <v>155</v>
      </c>
      <c r="E171" s="10" t="s">
        <v>25</v>
      </c>
      <c r="F171" s="11"/>
      <c r="H171" s="8" t="s">
        <v>151</v>
      </c>
      <c r="I171" s="5" t="s">
        <v>152</v>
      </c>
      <c r="J171" s="42">
        <f>J23</f>
        <v>150</v>
      </c>
      <c r="K171" s="10" t="s">
        <v>25</v>
      </c>
      <c r="L171" s="11"/>
    </row>
    <row r="172" spans="2:12" ht="15.6">
      <c r="B172" s="8" t="s">
        <v>163</v>
      </c>
      <c r="C172" s="5" t="s">
        <v>153</v>
      </c>
      <c r="D172" s="124">
        <f>'PC-B4-7_DDR1'!D27/D169</f>
        <v>5.2621899995278003</v>
      </c>
      <c r="E172" s="75"/>
      <c r="F172" s="14"/>
      <c r="H172" s="8" t="s">
        <v>163</v>
      </c>
      <c r="I172" s="5" t="s">
        <v>153</v>
      </c>
      <c r="J172" s="124">
        <f>'PC-B4-7_DDR1'!D27/J169</f>
        <v>5.2621899995278003</v>
      </c>
      <c r="K172" s="75"/>
      <c r="L172" s="14"/>
    </row>
    <row r="173" spans="2:12" ht="15.6">
      <c r="B173" s="8" t="s">
        <v>162</v>
      </c>
      <c r="C173" s="5" t="s">
        <v>154</v>
      </c>
      <c r="D173" s="123">
        <f>'PC-B4-7_DDR1'!D52/('PC-B4-7_DDR1'!D8*'PC-B4-7_DDR1'!D9)</f>
        <v>2.6666666666666666E-3</v>
      </c>
      <c r="E173" s="76"/>
      <c r="F173" s="14"/>
      <c r="H173" s="8" t="s">
        <v>162</v>
      </c>
      <c r="I173" s="5" t="s">
        <v>154</v>
      </c>
      <c r="J173" s="123">
        <f>'PC-B4-7_DDR1'!D51/('PC-B4-7_DDR1'!D8*'PC-B4-7_DDR1'!D9)</f>
        <v>4.3520000000000003E-2</v>
      </c>
      <c r="K173" s="76"/>
      <c r="L173" s="14"/>
    </row>
    <row r="174" spans="2:12" ht="15.6">
      <c r="B174" s="8" t="s">
        <v>161</v>
      </c>
      <c r="C174" s="5" t="s">
        <v>155</v>
      </c>
      <c r="D174" s="124">
        <f>SQRT((D172*D173)^2+2*D173*D172)-D172*D173</f>
        <v>0.15408032620028914</v>
      </c>
      <c r="E174" s="75"/>
      <c r="F174" s="14"/>
      <c r="H174" s="8" t="s">
        <v>161</v>
      </c>
      <c r="I174" s="5" t="s">
        <v>155</v>
      </c>
      <c r="J174" s="124">
        <f>SQRT((J173*J172)^2+J173*J172*2)-J172*J173</f>
        <v>0.48545910617301419</v>
      </c>
      <c r="K174" s="75"/>
      <c r="L174" s="14"/>
    </row>
    <row r="175" spans="2:12" ht="15.6">
      <c r="B175" s="8"/>
      <c r="C175" s="5" t="s">
        <v>156</v>
      </c>
      <c r="D175" s="124">
        <f>1-D174/3</f>
        <v>0.94863989126657033</v>
      </c>
      <c r="F175" s="14"/>
      <c r="H175" s="8"/>
      <c r="I175" s="5" t="s">
        <v>156</v>
      </c>
      <c r="J175" s="124">
        <f>1-J174/3</f>
        <v>0.83818029794232862</v>
      </c>
      <c r="L175" s="14"/>
    </row>
    <row r="176" spans="2:12" ht="15.6">
      <c r="B176" s="8"/>
      <c r="C176" s="5" t="s">
        <v>157</v>
      </c>
      <c r="D176" s="77">
        <f>2*'PC-B4-7_DDR1'!$D$38/(D175*('PC-B4-7_DDR1'!$D$50^2)*'PC-B4-7_DDR1'!$D$9*D174)*1000000</f>
        <v>26.116818162544806</v>
      </c>
      <c r="F176" s="14"/>
      <c r="H176" s="8"/>
      <c r="I176" s="5" t="s">
        <v>157</v>
      </c>
      <c r="J176" s="77">
        <f>2*'PC-B4-7_DDR1'!$D$38/(J175*('PC-B4-7_DDR1'!$D$50^2)*'PC-B4-7_DDR1'!$D$9*J174)*1000000</f>
        <v>9.381639433688548</v>
      </c>
      <c r="L176" s="14"/>
    </row>
    <row r="177" spans="2:12" ht="15.6">
      <c r="B177" s="8" t="s">
        <v>158</v>
      </c>
      <c r="C177" s="5" t="s">
        <v>52</v>
      </c>
      <c r="D177" s="78" t="str">
        <f>IF($D$170&gt;D176,"Pass","Fail")</f>
        <v>Pass</v>
      </c>
      <c r="F177" s="14"/>
      <c r="H177" s="8" t="s">
        <v>158</v>
      </c>
      <c r="I177" s="5" t="s">
        <v>52</v>
      </c>
      <c r="J177" s="78" t="str">
        <f>IF($J$170&gt;J176,"Pass","Fail")</f>
        <v>Pass</v>
      </c>
      <c r="L177" s="14"/>
    </row>
    <row r="178" spans="2:12" ht="15.6">
      <c r="B178" s="8"/>
      <c r="C178" s="5" t="s">
        <v>159</v>
      </c>
      <c r="D178" s="77">
        <f>'PC-B4-7_DDR1'!$D$39/('PC-B4-7_DDR1'!$D$52*D175*'PC-B4-7_DDR1'!$J$53)*1000000 + -1*D35*1000*0.5/D52</f>
        <v>0</v>
      </c>
      <c r="F178" s="14"/>
      <c r="H178" s="8"/>
      <c r="I178" s="5" t="s">
        <v>159</v>
      </c>
      <c r="J178" s="77">
        <f>'PC-B4-7_DDR1'!$D$38/('PC-B4-7_DDR1'!$D$51*J175*'PC-B4-7_DDR1'!$D$50)*1000000 + -1*D35*1000*0.5/D51</f>
        <v>26.816764425918223</v>
      </c>
      <c r="L178" s="14"/>
    </row>
    <row r="179" spans="2:12" ht="16.2" thickBot="1">
      <c r="B179" s="38" t="s">
        <v>160</v>
      </c>
      <c r="C179" s="39" t="s">
        <v>52</v>
      </c>
      <c r="D179" s="79" t="str">
        <f>IF($D$171&gt;D178,"Pass","Fail")</f>
        <v>Pass</v>
      </c>
      <c r="E179" s="46"/>
      <c r="F179" s="41"/>
      <c r="H179" s="38" t="s">
        <v>160</v>
      </c>
      <c r="I179" s="39" t="s">
        <v>52</v>
      </c>
      <c r="J179" s="79" t="str">
        <f>IF($J$171&gt;J178,"Pass","Fail")</f>
        <v>Pass</v>
      </c>
      <c r="K179" s="46"/>
      <c r="L179" s="41"/>
    </row>
  </sheetData>
  <mergeCells count="7">
    <mergeCell ref="B161:C161"/>
    <mergeCell ref="B1:F1"/>
    <mergeCell ref="B5:C5"/>
    <mergeCell ref="B140:F140"/>
    <mergeCell ref="H140:L140"/>
    <mergeCell ref="D149:E149"/>
    <mergeCell ref="J149:K149"/>
  </mergeCells>
  <conditionalFormatting sqref="L8:L19">
    <cfRule type="cellIs" dxfId="4" priority="1" operator="equal">
      <formula>"Fail"</formula>
    </cfRule>
  </conditionalFormatting>
  <dataValidations count="1">
    <dataValidation type="list" allowBlank="1" showInputMessage="1" showErrorMessage="1" sqref="F5" xr:uid="{26CC196C-B2EE-41C8-A26D-D69C8964C6D1}">
      <formula1>$R$7:$S$7</formula1>
    </dataValidation>
  </dataValidations>
  <pageMargins left="0.7" right="0.7" top="0.75" bottom="0.75" header="0.3" footer="0.3"/>
  <pageSetup paperSize="9" scale="35" fitToHeight="0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9CD84-A663-4AE8-8867-31499236126A}">
  <sheetPr codeName="Sheet9">
    <tabColor theme="9" tint="0.59999389629810485"/>
    <pageSetUpPr fitToPage="1"/>
  </sheetPr>
  <dimension ref="B1:U179"/>
  <sheetViews>
    <sheetView zoomScale="70" zoomScaleNormal="70" workbookViewId="0">
      <selection activeCell="F5" sqref="F5"/>
    </sheetView>
  </sheetViews>
  <sheetFormatPr defaultRowHeight="14.4"/>
  <cols>
    <col min="2" max="2" width="40" customWidth="1"/>
    <col min="3" max="3" width="16.88671875" customWidth="1"/>
    <col min="4" max="4" width="12.33203125" bestFit="1" customWidth="1"/>
    <col min="5" max="5" width="11.88671875" customWidth="1"/>
    <col min="6" max="6" width="30.109375" customWidth="1"/>
    <col min="7" max="7" width="13.33203125" customWidth="1"/>
    <col min="8" max="8" width="43.44140625" customWidth="1"/>
    <col min="9" max="9" width="15.33203125" customWidth="1"/>
    <col min="10" max="10" width="13.33203125" bestFit="1" customWidth="1"/>
    <col min="11" max="11" width="10" bestFit="1" customWidth="1"/>
    <col min="12" max="12" width="28" customWidth="1"/>
  </cols>
  <sheetData>
    <row r="1" spans="2:20" ht="20.399999999999999" thickBot="1">
      <c r="B1" s="175" t="s">
        <v>326</v>
      </c>
      <c r="C1" s="175"/>
      <c r="D1" s="175"/>
      <c r="E1" s="175"/>
      <c r="F1" s="175"/>
    </row>
    <row r="2" spans="2:20" ht="15" thickTop="1"/>
    <row r="3" spans="2:20">
      <c r="B3" s="120" t="s">
        <v>229</v>
      </c>
      <c r="C3" t="s">
        <v>327</v>
      </c>
      <c r="D3" s="120" t="s">
        <v>230</v>
      </c>
      <c r="E3" s="119">
        <f ca="1">TODAY()</f>
        <v>46037</v>
      </c>
      <c r="F3" s="120" t="s">
        <v>231</v>
      </c>
      <c r="G3" s="119">
        <v>45426</v>
      </c>
    </row>
    <row r="4" spans="2:20" ht="15" thickBot="1"/>
    <row r="5" spans="2:20" ht="18.600000000000001" thickBot="1">
      <c r="B5" s="176" t="s">
        <v>0</v>
      </c>
      <c r="C5" s="177"/>
      <c r="D5" s="3"/>
      <c r="E5" s="4"/>
      <c r="F5" s="158" t="s">
        <v>330</v>
      </c>
      <c r="H5" s="87" t="s">
        <v>165</v>
      </c>
      <c r="I5" s="4"/>
      <c r="J5" s="4"/>
      <c r="K5" s="82"/>
    </row>
    <row r="6" spans="2:20" ht="16.2" thickBot="1">
      <c r="B6" s="5"/>
      <c r="C6" s="5"/>
    </row>
    <row r="7" spans="2:20" ht="15.6">
      <c r="B7" s="86" t="s">
        <v>174</v>
      </c>
      <c r="C7" s="6"/>
      <c r="D7" s="6"/>
      <c r="E7" s="6"/>
      <c r="F7" s="7"/>
      <c r="H7" s="147" t="s">
        <v>307</v>
      </c>
      <c r="I7" s="88" t="s">
        <v>39</v>
      </c>
      <c r="J7" s="89">
        <f>D33</f>
        <v>330</v>
      </c>
      <c r="K7" s="90" t="s">
        <v>40</v>
      </c>
      <c r="L7" s="148"/>
      <c r="R7" t="s">
        <v>331</v>
      </c>
      <c r="S7" t="s">
        <v>330</v>
      </c>
    </row>
    <row r="8" spans="2:20" ht="15.6">
      <c r="B8" s="8" t="s">
        <v>175</v>
      </c>
      <c r="C8" s="5" t="s">
        <v>97</v>
      </c>
      <c r="D8" s="158">
        <f>IF(F$5="End Stage",S8,R8)</f>
        <v>450</v>
      </c>
      <c r="E8" s="10" t="s">
        <v>2</v>
      </c>
      <c r="F8" s="11"/>
      <c r="H8" s="91"/>
      <c r="I8" s="92" t="s">
        <v>70</v>
      </c>
      <c r="J8" s="93">
        <f>J59</f>
        <v>596.22391124836383</v>
      </c>
      <c r="K8" s="94" t="s">
        <v>40</v>
      </c>
      <c r="L8" s="170" t="str">
        <f>J60</f>
        <v>Pass</v>
      </c>
      <c r="R8" s="161">
        <v>250</v>
      </c>
      <c r="S8" s="161">
        <v>450</v>
      </c>
      <c r="T8" s="161"/>
    </row>
    <row r="9" spans="2:20" ht="15.6">
      <c r="B9" s="8" t="s">
        <v>176</v>
      </c>
      <c r="C9" s="5" t="s">
        <v>3</v>
      </c>
      <c r="D9" s="9">
        <v>1000</v>
      </c>
      <c r="E9" s="10" t="s">
        <v>2</v>
      </c>
      <c r="F9" s="11"/>
      <c r="H9" s="91"/>
      <c r="I9" s="96" t="s">
        <v>166</v>
      </c>
      <c r="J9" s="93">
        <f>D56</f>
        <v>968.039142694823</v>
      </c>
      <c r="K9" s="94" t="s">
        <v>167</v>
      </c>
      <c r="L9" s="170" t="str">
        <f>D57</f>
        <v>Pass</v>
      </c>
      <c r="R9" s="161"/>
      <c r="S9" s="161"/>
      <c r="T9" s="161"/>
    </row>
    <row r="10" spans="2:20" ht="18">
      <c r="B10" s="8" t="s">
        <v>4</v>
      </c>
      <c r="C10" s="81" t="s">
        <v>124</v>
      </c>
      <c r="D10" s="9">
        <v>25</v>
      </c>
      <c r="E10" s="10" t="s">
        <v>5</v>
      </c>
      <c r="F10" s="11"/>
      <c r="H10" s="91"/>
      <c r="I10" s="97"/>
      <c r="J10" s="98"/>
      <c r="K10" s="97"/>
      <c r="L10" s="170"/>
      <c r="R10" s="161"/>
      <c r="S10" s="161"/>
      <c r="T10" s="161"/>
    </row>
    <row r="11" spans="2:20" ht="15.6">
      <c r="B11" s="8" t="s">
        <v>134</v>
      </c>
      <c r="C11" s="5" t="s">
        <v>1</v>
      </c>
      <c r="D11" s="70">
        <f>D8-((H34*I34)+(H35*I35)+(H36*I36)+(H37*I37)+(H38*I38))/(SUM(H34:H38))</f>
        <v>355</v>
      </c>
      <c r="E11" s="10" t="s">
        <v>2</v>
      </c>
      <c r="F11" s="121" t="s">
        <v>232</v>
      </c>
      <c r="H11" s="91" t="s">
        <v>168</v>
      </c>
      <c r="I11" s="96" t="s">
        <v>171</v>
      </c>
      <c r="J11" s="93">
        <f>'PC-S1_DDR1'!J120</f>
        <v>362.06809785136329</v>
      </c>
      <c r="K11" s="94" t="s">
        <v>46</v>
      </c>
      <c r="L11" s="170"/>
      <c r="R11" s="161"/>
      <c r="S11" s="161"/>
      <c r="T11" s="161"/>
    </row>
    <row r="12" spans="2:20" ht="15.6">
      <c r="B12" s="84" t="s">
        <v>6</v>
      </c>
      <c r="D12" s="12"/>
      <c r="F12" s="13"/>
      <c r="H12" s="91"/>
      <c r="I12" s="92" t="s">
        <v>169</v>
      </c>
      <c r="J12" s="93">
        <f>'PC-S1_DDR1'!D132</f>
        <v>677.37940140047135</v>
      </c>
      <c r="K12" s="94" t="s">
        <v>46</v>
      </c>
      <c r="L12" s="170" t="str">
        <f>'PC-S1_DDR1'!D133</f>
        <v>Pass</v>
      </c>
      <c r="R12" s="161"/>
      <c r="S12" s="161"/>
      <c r="T12" s="161"/>
    </row>
    <row r="13" spans="2:20" ht="15.6">
      <c r="B13" s="8" t="s">
        <v>7</v>
      </c>
      <c r="C13" s="5" t="s">
        <v>8</v>
      </c>
      <c r="D13" s="158">
        <f>IF(F$5="End Stage",S13,R13)</f>
        <v>50</v>
      </c>
      <c r="E13" s="10" t="s">
        <v>2</v>
      </c>
      <c r="F13" s="11" t="s">
        <v>9</v>
      </c>
      <c r="H13" s="91"/>
      <c r="I13" s="92" t="s">
        <v>170</v>
      </c>
      <c r="J13" s="93">
        <f>'PC-S1_DDR1'!J132</f>
        <v>652.56179042158783</v>
      </c>
      <c r="K13" s="94" t="s">
        <v>46</v>
      </c>
      <c r="L13" s="170" t="str">
        <f>'PC-S1_DDR1'!J133</f>
        <v>Pass</v>
      </c>
      <c r="R13" s="161">
        <v>35</v>
      </c>
      <c r="S13" s="161">
        <v>50</v>
      </c>
      <c r="T13" s="161"/>
    </row>
    <row r="14" spans="2:20" ht="15.6">
      <c r="B14" s="8" t="s">
        <v>10</v>
      </c>
      <c r="C14" s="5" t="s">
        <v>8</v>
      </c>
      <c r="D14" s="9">
        <v>65</v>
      </c>
      <c r="E14" s="10" t="s">
        <v>2</v>
      </c>
      <c r="F14" s="11" t="s">
        <v>9</v>
      </c>
      <c r="H14" s="91"/>
      <c r="I14" s="97"/>
      <c r="J14" s="99"/>
      <c r="K14" s="97"/>
      <c r="L14" s="170"/>
      <c r="R14" s="168"/>
      <c r="S14" s="168"/>
      <c r="T14" s="161"/>
    </row>
    <row r="15" spans="2:20" ht="15.6">
      <c r="B15" s="8" t="s">
        <v>11</v>
      </c>
      <c r="C15" s="5" t="s">
        <v>12</v>
      </c>
      <c r="D15" s="158">
        <f>IF(F$5="End Stage",S15,R15)</f>
        <v>32</v>
      </c>
      <c r="E15" s="10" t="s">
        <v>2</v>
      </c>
      <c r="F15" s="11"/>
      <c r="H15" s="91" t="s">
        <v>177</v>
      </c>
      <c r="I15" s="96" t="s">
        <v>157</v>
      </c>
      <c r="J15" s="99">
        <f>'PC-S1_DDR1'!D176</f>
        <v>11.092496858804743</v>
      </c>
      <c r="K15" s="94" t="s">
        <v>25</v>
      </c>
      <c r="L15" s="171" t="str">
        <f>'PC-S1_DDR1'!D177</f>
        <v>Pass</v>
      </c>
      <c r="R15" s="161">
        <v>16</v>
      </c>
      <c r="S15" s="164">
        <v>32</v>
      </c>
      <c r="T15" s="161"/>
    </row>
    <row r="16" spans="2:20" ht="15.6">
      <c r="B16" s="8" t="s">
        <v>13</v>
      </c>
      <c r="C16" s="5" t="s">
        <v>14</v>
      </c>
      <c r="D16" s="9">
        <v>28</v>
      </c>
      <c r="E16" s="10" t="s">
        <v>2</v>
      </c>
      <c r="F16" s="11"/>
      <c r="H16" s="91"/>
      <c r="I16" s="96" t="s">
        <v>159</v>
      </c>
      <c r="J16" s="99">
        <f>'PC-S1_DDR1'!D178</f>
        <v>135.99391928404924</v>
      </c>
      <c r="K16" s="94" t="s">
        <v>25</v>
      </c>
      <c r="L16" s="171" t="str">
        <f>'PC-S1_DDR1'!D179</f>
        <v>Pass</v>
      </c>
      <c r="R16" s="168"/>
      <c r="S16" s="161"/>
      <c r="T16" s="161"/>
    </row>
    <row r="17" spans="2:20" ht="15.6">
      <c r="B17" s="84" t="s">
        <v>15</v>
      </c>
      <c r="D17" s="12"/>
      <c r="F17" s="13"/>
      <c r="H17" s="91"/>
      <c r="I17" s="97"/>
      <c r="J17" s="99"/>
      <c r="K17" s="97"/>
      <c r="L17" s="170"/>
      <c r="R17" s="168"/>
      <c r="S17" s="161"/>
      <c r="T17" s="161"/>
    </row>
    <row r="18" spans="2:20" ht="15.6">
      <c r="B18" s="8" t="s">
        <v>16</v>
      </c>
      <c r="C18" s="5" t="s">
        <v>17</v>
      </c>
      <c r="D18" s="9">
        <v>16</v>
      </c>
      <c r="E18" s="10" t="s">
        <v>2</v>
      </c>
      <c r="F18" s="14"/>
      <c r="H18" s="91" t="s">
        <v>178</v>
      </c>
      <c r="I18" s="96" t="s">
        <v>157</v>
      </c>
      <c r="J18" s="99">
        <f>'PC-S1_DDR1'!J176</f>
        <v>12.196548240821899</v>
      </c>
      <c r="K18" s="94" t="s">
        <v>25</v>
      </c>
      <c r="L18" s="171" t="str">
        <f>'PC-S1_DDR1'!J177</f>
        <v>Pass</v>
      </c>
      <c r="R18" s="168"/>
      <c r="S18" s="161"/>
      <c r="T18" s="161"/>
    </row>
    <row r="19" spans="2:20" ht="16.2" thickBot="1">
      <c r="B19" s="8" t="s">
        <v>18</v>
      </c>
      <c r="C19" s="5" t="s">
        <v>19</v>
      </c>
      <c r="D19" s="9">
        <v>200</v>
      </c>
      <c r="E19" s="10" t="s">
        <v>2</v>
      </c>
      <c r="F19" s="14"/>
      <c r="H19" s="101"/>
      <c r="I19" s="102" t="s">
        <v>159</v>
      </c>
      <c r="J19" s="103">
        <f>'PC-S1_DDR1'!J178</f>
        <v>102.19933714694362</v>
      </c>
      <c r="K19" s="104" t="s">
        <v>25</v>
      </c>
      <c r="L19" s="172" t="str">
        <f>'PC-S1_DDR1'!J179</f>
        <v>Pass</v>
      </c>
      <c r="R19" s="168"/>
      <c r="S19" s="161"/>
      <c r="T19" s="161"/>
    </row>
    <row r="20" spans="2:20" ht="16.2" thickBot="1">
      <c r="B20" s="8" t="s">
        <v>20</v>
      </c>
      <c r="C20" s="5"/>
      <c r="D20" s="9">
        <v>2</v>
      </c>
      <c r="F20" s="14"/>
      <c r="R20" s="168"/>
      <c r="S20" s="161"/>
      <c r="T20" s="161"/>
    </row>
    <row r="21" spans="2:20" ht="15.6">
      <c r="B21" s="8" t="s">
        <v>123</v>
      </c>
      <c r="C21" s="5" t="s">
        <v>17</v>
      </c>
      <c r="D21" s="9">
        <v>16</v>
      </c>
      <c r="E21" s="10" t="s">
        <v>2</v>
      </c>
      <c r="F21" s="11"/>
      <c r="H21" s="163" t="s">
        <v>335</v>
      </c>
      <c r="I21" s="6"/>
      <c r="J21" s="6"/>
      <c r="K21" s="6"/>
      <c r="L21" s="7"/>
      <c r="R21" s="168"/>
      <c r="S21" s="161"/>
      <c r="T21" s="161"/>
    </row>
    <row r="22" spans="2:20" ht="15.6">
      <c r="B22" s="84" t="s">
        <v>22</v>
      </c>
      <c r="C22" s="15"/>
      <c r="D22" s="16"/>
      <c r="F22" s="11"/>
      <c r="H22" s="52" t="s">
        <v>332</v>
      </c>
      <c r="I22" s="5" t="s">
        <v>152</v>
      </c>
      <c r="J22" s="158">
        <f>IF(F$5="End Stage",S22,R22)</f>
        <v>150</v>
      </c>
      <c r="K22" s="10" t="s">
        <v>25</v>
      </c>
      <c r="L22" s="13" t="s">
        <v>333</v>
      </c>
      <c r="R22" s="161">
        <v>155</v>
      </c>
      <c r="S22" s="161">
        <v>150</v>
      </c>
      <c r="T22" s="161"/>
    </row>
    <row r="23" spans="2:20" ht="16.2" thickBot="1">
      <c r="B23" s="8" t="s">
        <v>23</v>
      </c>
      <c r="C23" s="5" t="s">
        <v>24</v>
      </c>
      <c r="D23" s="9">
        <v>50</v>
      </c>
      <c r="E23" s="10" t="s">
        <v>25</v>
      </c>
      <c r="F23" s="11"/>
      <c r="H23" s="162" t="s">
        <v>332</v>
      </c>
      <c r="I23" s="39" t="s">
        <v>152</v>
      </c>
      <c r="J23" s="83">
        <v>150</v>
      </c>
      <c r="K23" s="40" t="s">
        <v>25</v>
      </c>
      <c r="L23" s="47" t="s">
        <v>334</v>
      </c>
      <c r="R23" s="168"/>
      <c r="S23" s="161"/>
      <c r="T23" s="161"/>
    </row>
    <row r="24" spans="2:20" ht="16.2" thickBot="1">
      <c r="B24" s="8" t="s">
        <v>26</v>
      </c>
      <c r="C24" s="5" t="s">
        <v>27</v>
      </c>
      <c r="D24" s="9">
        <v>500</v>
      </c>
      <c r="E24" s="10" t="s">
        <v>25</v>
      </c>
      <c r="F24" s="11" t="s">
        <v>28</v>
      </c>
      <c r="O24" t="s">
        <v>328</v>
      </c>
      <c r="P24" s="9">
        <v>150</v>
      </c>
      <c r="R24" s="168"/>
      <c r="S24" s="161"/>
      <c r="T24" s="161"/>
    </row>
    <row r="25" spans="2:20" ht="16.2" thickBot="1">
      <c r="B25" s="8" t="s">
        <v>29</v>
      </c>
      <c r="C25" s="5" t="s">
        <v>27</v>
      </c>
      <c r="D25" s="9">
        <v>500</v>
      </c>
      <c r="E25" s="10" t="s">
        <v>25</v>
      </c>
      <c r="F25" s="11" t="s">
        <v>28</v>
      </c>
      <c r="H25" s="20" t="s">
        <v>325</v>
      </c>
      <c r="I25" s="21"/>
      <c r="J25" s="22"/>
      <c r="O25" t="s">
        <v>329</v>
      </c>
      <c r="P25">
        <f>ROUNDDOWN(1+(D9-2*D14)/P24,0)</f>
        <v>6</v>
      </c>
      <c r="Q25">
        <f>1+(D9-2*D14)/P24</f>
        <v>6.8</v>
      </c>
      <c r="R25" s="168"/>
      <c r="S25" s="161"/>
      <c r="T25" s="161"/>
    </row>
    <row r="26" spans="2:20" ht="16.2" thickTop="1">
      <c r="B26" s="8" t="s">
        <v>102</v>
      </c>
      <c r="C26" s="5" t="s">
        <v>103</v>
      </c>
      <c r="D26" s="9">
        <v>500</v>
      </c>
      <c r="E26" s="10" t="s">
        <v>25</v>
      </c>
      <c r="F26" s="11" t="s">
        <v>28</v>
      </c>
      <c r="H26" s="23" t="s">
        <v>53</v>
      </c>
      <c r="I26" s="24" t="s">
        <v>72</v>
      </c>
      <c r="J26" s="25" t="s">
        <v>73</v>
      </c>
      <c r="R26" s="168"/>
      <c r="S26" s="161"/>
      <c r="T26" s="161"/>
    </row>
    <row r="27" spans="2:20" ht="15.6">
      <c r="B27" s="8" t="s">
        <v>30</v>
      </c>
      <c r="C27" s="5" t="s">
        <v>31</v>
      </c>
      <c r="D27" s="17">
        <v>200000</v>
      </c>
      <c r="E27" s="10" t="s">
        <v>25</v>
      </c>
      <c r="F27" s="11" t="s">
        <v>32</v>
      </c>
      <c r="H27" s="165">
        <f>IF(F$5="End Stage",S27,R27)</f>
        <v>7</v>
      </c>
      <c r="I27" s="27">
        <f>IF(H27=0,0,D13+0.5*D15+D18)</f>
        <v>82</v>
      </c>
      <c r="J27" s="28">
        <f>H27*I27</f>
        <v>574</v>
      </c>
      <c r="R27" s="161">
        <v>3</v>
      </c>
      <c r="S27" s="161">
        <v>7</v>
      </c>
      <c r="T27" s="161"/>
    </row>
    <row r="28" spans="2:20" ht="15.6">
      <c r="B28" s="8" t="s">
        <v>226</v>
      </c>
      <c r="C28" s="5" t="s">
        <v>227</v>
      </c>
      <c r="D28" s="9">
        <v>16</v>
      </c>
      <c r="E28" s="10" t="s">
        <v>2</v>
      </c>
      <c r="F28" s="11" t="s">
        <v>184</v>
      </c>
      <c r="H28" s="29">
        <v>0</v>
      </c>
      <c r="I28" s="30">
        <f>IF(H28=0,0,I27+150)</f>
        <v>0</v>
      </c>
      <c r="J28" s="31">
        <f>H28*I28</f>
        <v>0</v>
      </c>
      <c r="K28" s="151"/>
      <c r="R28" s="168"/>
      <c r="S28" s="161"/>
      <c r="T28" s="161"/>
    </row>
    <row r="29" spans="2:20" ht="15.6">
      <c r="B29" s="84" t="s">
        <v>33</v>
      </c>
      <c r="D29" s="12"/>
      <c r="F29" s="13"/>
      <c r="H29" s="29">
        <v>0</v>
      </c>
      <c r="I29" s="30">
        <f>IF(H29=0,0,I28+150)</f>
        <v>0</v>
      </c>
      <c r="J29" s="31">
        <f>H29*I29</f>
        <v>0</v>
      </c>
      <c r="R29" s="168"/>
      <c r="S29" s="161"/>
      <c r="T29" s="161"/>
    </row>
    <row r="30" spans="2:20" ht="15.6">
      <c r="B30" s="8" t="s">
        <v>34</v>
      </c>
      <c r="C30" s="18" t="s">
        <v>35</v>
      </c>
      <c r="D30" s="9">
        <v>0.8</v>
      </c>
      <c r="F30" s="11" t="s">
        <v>36</v>
      </c>
      <c r="H30" s="29">
        <v>0</v>
      </c>
      <c r="I30" s="30">
        <f>IF(H30=0,0,I29+$D$13+0.5*$D$15)</f>
        <v>0</v>
      </c>
      <c r="J30" s="31">
        <f>H30*I30</f>
        <v>0</v>
      </c>
      <c r="R30" s="168"/>
      <c r="S30" s="161"/>
      <c r="T30" s="161"/>
    </row>
    <row r="31" spans="2:20" ht="16.2" thickBot="1">
      <c r="B31" s="8" t="s">
        <v>145</v>
      </c>
      <c r="C31" s="18" t="s">
        <v>35</v>
      </c>
      <c r="D31" s="9">
        <v>0.7</v>
      </c>
      <c r="F31" s="11" t="s">
        <v>36</v>
      </c>
      <c r="H31" s="29">
        <v>0</v>
      </c>
      <c r="I31" s="30">
        <f>IF(H31=0,0,I30+$D$13+0.5*$D$15)</f>
        <v>0</v>
      </c>
      <c r="J31" s="31">
        <f>H31*I31</f>
        <v>0</v>
      </c>
      <c r="R31" s="168"/>
      <c r="S31" s="161"/>
      <c r="T31" s="161"/>
    </row>
    <row r="32" spans="2:20" ht="16.2" thickBot="1">
      <c r="B32" s="84" t="s">
        <v>37</v>
      </c>
      <c r="C32" s="5"/>
      <c r="D32" s="85"/>
      <c r="F32" s="14"/>
      <c r="H32" s="20" t="s">
        <v>324</v>
      </c>
      <c r="I32" s="21"/>
      <c r="J32" s="32"/>
      <c r="R32" s="168"/>
      <c r="S32" s="161"/>
      <c r="T32" s="161"/>
    </row>
    <row r="33" spans="2:21" ht="16.2" thickTop="1">
      <c r="B33" s="8" t="s">
        <v>38</v>
      </c>
      <c r="C33" s="5" t="s">
        <v>39</v>
      </c>
      <c r="D33" s="159">
        <f>IF(F$5="End Stage",S33,R33)</f>
        <v>330</v>
      </c>
      <c r="E33" s="10" t="s">
        <v>40</v>
      </c>
      <c r="F33" s="11" t="s">
        <v>41</v>
      </c>
      <c r="H33" s="23" t="s">
        <v>53</v>
      </c>
      <c r="I33" s="24" t="s">
        <v>72</v>
      </c>
      <c r="J33" s="25" t="s">
        <v>73</v>
      </c>
      <c r="R33" s="161">
        <f>161/2.98</f>
        <v>54.026845637583889</v>
      </c>
      <c r="S33" s="161">
        <v>330</v>
      </c>
      <c r="T33" s="161"/>
    </row>
    <row r="34" spans="2:21" ht="15.6">
      <c r="B34" s="8" t="s">
        <v>42</v>
      </c>
      <c r="C34" s="5" t="s">
        <v>43</v>
      </c>
      <c r="D34" s="159">
        <f t="shared" ref="D34:D39" si="0">IF(F$5="End Stage",S34,R34)</f>
        <v>440</v>
      </c>
      <c r="E34" s="10" t="s">
        <v>40</v>
      </c>
      <c r="F34" s="11" t="s">
        <v>41</v>
      </c>
      <c r="H34" s="26">
        <v>7</v>
      </c>
      <c r="I34" s="27">
        <f>IF(H34=0,0,D14+0.5*D16+D18)</f>
        <v>95</v>
      </c>
      <c r="J34" s="28">
        <f>H34*I34</f>
        <v>665</v>
      </c>
      <c r="L34" s="19"/>
      <c r="R34" s="161">
        <v>0</v>
      </c>
      <c r="S34" s="161">
        <v>440</v>
      </c>
      <c r="T34" s="161"/>
    </row>
    <row r="35" spans="2:21" ht="15.6">
      <c r="B35" s="8" t="s">
        <v>224</v>
      </c>
      <c r="C35" s="5" t="s">
        <v>225</v>
      </c>
      <c r="D35" s="159">
        <f t="shared" si="0"/>
        <v>290</v>
      </c>
      <c r="E35" s="10" t="s">
        <v>46</v>
      </c>
      <c r="F35" s="11" t="s">
        <v>41</v>
      </c>
      <c r="H35" s="29">
        <v>0</v>
      </c>
      <c r="I35" s="30">
        <f>IF(H35=0,0,I34+D16+25)</f>
        <v>0</v>
      </c>
      <c r="J35" s="31">
        <f>H35*I35</f>
        <v>0</v>
      </c>
      <c r="R35" s="161">
        <v>0</v>
      </c>
      <c r="S35" s="161">
        <v>290</v>
      </c>
      <c r="T35" s="161">
        <v>290</v>
      </c>
      <c r="U35">
        <v>465</v>
      </c>
    </row>
    <row r="36" spans="2:21" ht="15.6">
      <c r="B36" s="8" t="s">
        <v>44</v>
      </c>
      <c r="C36" s="5" t="s">
        <v>45</v>
      </c>
      <c r="D36" s="159">
        <f t="shared" si="0"/>
        <v>210</v>
      </c>
      <c r="E36" s="10" t="s">
        <v>46</v>
      </c>
      <c r="F36" s="11" t="s">
        <v>41</v>
      </c>
      <c r="H36" s="29">
        <v>0</v>
      </c>
      <c r="I36" s="30">
        <f>IF(H36=0,0,I35+$D$13+0.5*$D$16)</f>
        <v>0</v>
      </c>
      <c r="J36" s="31">
        <f>H36*I36</f>
        <v>0</v>
      </c>
      <c r="R36" s="161">
        <f>145/2.98</f>
        <v>48.65771812080537</v>
      </c>
      <c r="S36" s="161">
        <v>210</v>
      </c>
      <c r="T36" s="161"/>
    </row>
    <row r="37" spans="2:21" ht="15.6">
      <c r="B37" s="8" t="s">
        <v>49</v>
      </c>
      <c r="C37" s="5" t="s">
        <v>50</v>
      </c>
      <c r="D37" s="159">
        <f t="shared" si="0"/>
        <v>65</v>
      </c>
      <c r="E37" s="10" t="s">
        <v>40</v>
      </c>
      <c r="F37" s="11" t="s">
        <v>41</v>
      </c>
      <c r="H37" s="29">
        <v>0</v>
      </c>
      <c r="I37" s="30">
        <f>IF(H37=0,0,I36+$D$13+0.5*$D$16)</f>
        <v>0</v>
      </c>
      <c r="J37" s="31">
        <f>H37*I37</f>
        <v>0</v>
      </c>
      <c r="R37" s="161">
        <v>0</v>
      </c>
      <c r="S37" s="161">
        <v>65</v>
      </c>
      <c r="T37" s="161"/>
    </row>
    <row r="38" spans="2:21" ht="15.6">
      <c r="B38" s="8" t="s">
        <v>47</v>
      </c>
      <c r="C38" s="5" t="s">
        <v>39</v>
      </c>
      <c r="D38" s="159">
        <f t="shared" si="0"/>
        <v>190</v>
      </c>
      <c r="E38" s="10" t="s">
        <v>40</v>
      </c>
      <c r="F38" s="11" t="s">
        <v>41</v>
      </c>
      <c r="H38" s="29">
        <v>0</v>
      </c>
      <c r="I38" s="30">
        <f>IF(H38=0,0,I37+$D$13+0.5*$D$16)</f>
        <v>0</v>
      </c>
      <c r="J38" s="31">
        <f>H38*I38</f>
        <v>0</v>
      </c>
      <c r="R38" s="161">
        <f>122/2.98</f>
        <v>40.939597315436245</v>
      </c>
      <c r="S38" s="161">
        <v>190</v>
      </c>
      <c r="T38" s="161"/>
    </row>
    <row r="39" spans="2:21" ht="16.2" thickBot="1">
      <c r="B39" s="38" t="s">
        <v>48</v>
      </c>
      <c r="C39" s="39" t="s">
        <v>43</v>
      </c>
      <c r="D39" s="160">
        <f t="shared" si="0"/>
        <v>300</v>
      </c>
      <c r="E39" s="40" t="s">
        <v>40</v>
      </c>
      <c r="F39" s="43" t="s">
        <v>41</v>
      </c>
      <c r="H39" s="34" t="s">
        <v>74</v>
      </c>
      <c r="I39" s="35" t="s">
        <v>52</v>
      </c>
      <c r="J39" s="36"/>
      <c r="R39" s="161">
        <v>0</v>
      </c>
      <c r="S39" s="161">
        <v>300</v>
      </c>
      <c r="T39" s="161"/>
    </row>
    <row r="40" spans="2:21" ht="15" thickBot="1"/>
    <row r="41" spans="2:21" ht="18.600000000000001" thickBot="1">
      <c r="B41" s="1" t="s">
        <v>51</v>
      </c>
      <c r="C41" s="5"/>
      <c r="I41" s="48"/>
      <c r="J41" s="48"/>
    </row>
    <row r="42" spans="2:21" ht="16.2" thickBot="1">
      <c r="B42" s="5"/>
      <c r="C42" s="5"/>
      <c r="L42" s="19"/>
    </row>
    <row r="43" spans="2:21" ht="15.6">
      <c r="B43" s="37" t="s">
        <v>99</v>
      </c>
      <c r="C43" s="6"/>
      <c r="D43" s="6"/>
      <c r="E43" s="6"/>
      <c r="F43" s="7"/>
    </row>
    <row r="44" spans="2:21">
      <c r="B44" s="44" t="s">
        <v>100</v>
      </c>
      <c r="F44" s="13"/>
    </row>
    <row r="45" spans="2:21">
      <c r="B45" s="44" t="s">
        <v>109</v>
      </c>
      <c r="F45" s="13"/>
    </row>
    <row r="46" spans="2:21">
      <c r="B46" s="44"/>
      <c r="F46" s="13"/>
    </row>
    <row r="47" spans="2:21" ht="15" thickBot="1">
      <c r="B47" s="45"/>
      <c r="C47" s="46"/>
      <c r="D47" s="46"/>
      <c r="E47" s="46"/>
      <c r="F47" s="47"/>
    </row>
    <row r="48" spans="2:21" ht="15" thickBot="1"/>
    <row r="49" spans="2:16" ht="15.6">
      <c r="B49" s="67"/>
      <c r="C49" s="68"/>
      <c r="D49" s="21"/>
      <c r="E49" s="21"/>
      <c r="F49" s="22"/>
    </row>
    <row r="50" spans="2:16" ht="15.6">
      <c r="B50" s="8" t="s">
        <v>54</v>
      </c>
      <c r="C50" s="5" t="s">
        <v>1</v>
      </c>
      <c r="D50" s="70">
        <f>D8-((H34*I34)+(H35*I35)+(H36*I36)+(H37*I37)+(H38*I38))/(SUM(H34:H38))</f>
        <v>355</v>
      </c>
      <c r="E50" s="10" t="s">
        <v>2</v>
      </c>
      <c r="F50" s="14"/>
      <c r="N50" s="42"/>
    </row>
    <row r="51" spans="2:16" ht="15.6">
      <c r="B51" s="8" t="s">
        <v>295</v>
      </c>
      <c r="C51" s="5" t="s">
        <v>55</v>
      </c>
      <c r="D51" s="71">
        <f>SUM(H34:H38)*ROUND(PI()*D16^2*0.25,-1)</f>
        <v>4340</v>
      </c>
      <c r="E51" s="10" t="s">
        <v>56</v>
      </c>
      <c r="F51" s="14"/>
    </row>
    <row r="52" spans="2:16" ht="16.2" thickBot="1">
      <c r="B52" s="8" t="s">
        <v>296</v>
      </c>
      <c r="C52" s="5" t="s">
        <v>297</v>
      </c>
      <c r="D52" s="71">
        <f>SUM(H27:H31)*ROUND(PI()*D15^2*0.25,-1)</f>
        <v>5600</v>
      </c>
      <c r="E52" s="10" t="s">
        <v>56</v>
      </c>
      <c r="F52" s="13"/>
    </row>
    <row r="53" spans="2:16" ht="15.6">
      <c r="B53" s="8" t="s">
        <v>57</v>
      </c>
      <c r="C53" s="5" t="s">
        <v>58</v>
      </c>
      <c r="D53" s="70">
        <f>IF(0.85-0.0015*($D$23)&lt;0.67,0.67,0.85-0.0015*($D$23))</f>
        <v>0.77500000000000002</v>
      </c>
      <c r="F53" s="11" t="s">
        <v>59</v>
      </c>
      <c r="H53" s="133" t="s">
        <v>308</v>
      </c>
      <c r="I53" s="134" t="s">
        <v>309</v>
      </c>
      <c r="J53" s="135">
        <f>D8-((H27*I27)+(H28*I28)+(H29*I29)+(H30*I30)+(H31*I31))/(SUM(H27:H31))</f>
        <v>368</v>
      </c>
      <c r="K53" s="135" t="s">
        <v>2</v>
      </c>
      <c r="L53" s="7"/>
    </row>
    <row r="54" spans="2:16" ht="15.6">
      <c r="B54" s="8" t="s">
        <v>60</v>
      </c>
      <c r="C54" s="18" t="s">
        <v>61</v>
      </c>
      <c r="D54" s="70">
        <f>IF(0.97-0.0025*($D$23)&lt;0.67,0.67,0.97-0.0025*($D$23))</f>
        <v>0.84499999999999997</v>
      </c>
      <c r="F54" s="11" t="s">
        <v>59</v>
      </c>
      <c r="H54" s="8" t="s">
        <v>298</v>
      </c>
      <c r="I54" s="108" t="s">
        <v>306</v>
      </c>
      <c r="J54" s="71">
        <f>J84-D86</f>
        <v>102.63996888189513</v>
      </c>
      <c r="K54" s="70" t="s">
        <v>46</v>
      </c>
      <c r="L54" s="13"/>
    </row>
    <row r="55" spans="2:16" ht="15.6">
      <c r="B55" s="8" t="s">
        <v>294</v>
      </c>
      <c r="C55" s="5" t="s">
        <v>237</v>
      </c>
      <c r="D55" s="156">
        <v>70.693246919373124</v>
      </c>
      <c r="E55" s="136" t="s">
        <v>2</v>
      </c>
      <c r="F55" s="11"/>
      <c r="H55" s="8" t="s">
        <v>62</v>
      </c>
      <c r="I55" s="108" t="s">
        <v>299</v>
      </c>
      <c r="J55" s="110">
        <f>D55/D50</f>
        <v>0.19913590681513557</v>
      </c>
      <c r="K55" s="70"/>
      <c r="L55" s="13"/>
    </row>
    <row r="56" spans="2:16" ht="15.6">
      <c r="B56" s="8" t="s">
        <v>65</v>
      </c>
      <c r="C56" s="5" t="s">
        <v>66</v>
      </c>
      <c r="D56" s="71">
        <f>0.2*((D8/D50)^2)*0.6*SQRT(D23)/D24*D9*D50</f>
        <v>968.039142694823</v>
      </c>
      <c r="E56" s="10" t="s">
        <v>56</v>
      </c>
      <c r="F56" s="11" t="s">
        <v>67</v>
      </c>
      <c r="H56" s="8" t="s">
        <v>63</v>
      </c>
      <c r="I56" s="5"/>
      <c r="J56" s="150" t="str">
        <f>IF(J55&gt;0.36,"Check ku","ku OK")</f>
        <v>ku OK</v>
      </c>
      <c r="K56" s="69"/>
      <c r="L56" s="11" t="s">
        <v>64</v>
      </c>
    </row>
    <row r="57" spans="2:16" ht="15.6">
      <c r="B57" s="8" t="s">
        <v>68</v>
      </c>
      <c r="C57" s="5"/>
      <c r="D57" s="57" t="str">
        <f>IF(D51&gt;D56,"Pass","Fail")</f>
        <v>Pass</v>
      </c>
      <c r="E57" t="s">
        <v>69</v>
      </c>
      <c r="F57" s="11" t="s">
        <v>317</v>
      </c>
      <c r="H57" s="8" t="s">
        <v>300</v>
      </c>
      <c r="I57" s="108" t="s">
        <v>301</v>
      </c>
      <c r="J57" s="118">
        <f>((J78*1000*(D8-I34)+J79*1000*(D8-I35)+J80*1000*(D8-I36)+J81*1000*(D8-I37)+J82*1000*(D8-I38))-(D84*1000*D54*D55*0.5)-(D78*1000*I27+D79*1000*I28+D80*1000*I29+D81*1000*I30+D82*1000*I31))*10^-6</f>
        <v>745.27988906045471</v>
      </c>
      <c r="K57" s="70" t="s">
        <v>192</v>
      </c>
      <c r="L57" s="13"/>
    </row>
    <row r="58" spans="2:16" ht="15.6">
      <c r="B58" s="8" t="s">
        <v>68</v>
      </c>
      <c r="C58" s="5"/>
      <c r="D58" s="57" t="str">
        <f>IF(D51&gt;J138,"Pass","Fail")</f>
        <v>Pass</v>
      </c>
      <c r="E58" t="s">
        <v>69</v>
      </c>
      <c r="F58" s="11" t="s">
        <v>318</v>
      </c>
      <c r="H58" s="8" t="s">
        <v>303</v>
      </c>
      <c r="I58" s="108" t="s">
        <v>302</v>
      </c>
      <c r="J58" s="118">
        <f>1.2*(D9*(D8^2)/6)*(0.6*SQRT(D23))/1000000</f>
        <v>171.82694782833101</v>
      </c>
      <c r="K58" s="70" t="s">
        <v>192</v>
      </c>
      <c r="L58" s="13"/>
    </row>
    <row r="59" spans="2:16" ht="15.6">
      <c r="B59" s="8" t="s">
        <v>239</v>
      </c>
      <c r="C59" s="5" t="s">
        <v>292</v>
      </c>
      <c r="D59" s="136">
        <v>3.0000000000000001E-3</v>
      </c>
      <c r="E59" s="136" t="s">
        <v>197</v>
      </c>
      <c r="F59" s="13"/>
      <c r="H59" s="8" t="s">
        <v>304</v>
      </c>
      <c r="I59" s="108" t="s">
        <v>305</v>
      </c>
      <c r="J59" s="118">
        <f>J57*D30</f>
        <v>596.22391124836383</v>
      </c>
      <c r="K59" s="70" t="s">
        <v>192</v>
      </c>
      <c r="L59" s="13"/>
    </row>
    <row r="60" spans="2:16" ht="16.2" thickBot="1">
      <c r="B60" s="38" t="s">
        <v>238</v>
      </c>
      <c r="C60" s="39" t="s">
        <v>293</v>
      </c>
      <c r="D60" s="157">
        <v>2.5000000000000001E-3</v>
      </c>
      <c r="E60" s="157" t="s">
        <v>197</v>
      </c>
      <c r="F60" s="47"/>
      <c r="H60" s="38" t="s">
        <v>71</v>
      </c>
      <c r="I60" s="39"/>
      <c r="J60" s="59" t="str">
        <f>IF(J59&gt;D33,"Pass","Fail")</f>
        <v>Pass</v>
      </c>
      <c r="K60" s="40"/>
      <c r="L60" s="43" t="s">
        <v>52</v>
      </c>
      <c r="P60" s="42"/>
    </row>
    <row r="61" spans="2:16" ht="15" thickBot="1"/>
    <row r="62" spans="2:16" ht="15.6">
      <c r="B62" s="37" t="s">
        <v>240</v>
      </c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2:16">
      <c r="B63" s="127"/>
      <c r="L63" s="13"/>
    </row>
    <row r="64" spans="2:16">
      <c r="B64" s="137" t="s">
        <v>235</v>
      </c>
      <c r="C64" s="132"/>
      <c r="D64" s="138"/>
      <c r="E64" s="139"/>
      <c r="F64" s="130"/>
      <c r="G64" s="130"/>
      <c r="H64" s="129" t="s">
        <v>236</v>
      </c>
      <c r="I64" s="132"/>
      <c r="J64" s="138"/>
      <c r="K64" s="139"/>
      <c r="L64" s="146"/>
    </row>
    <row r="65" spans="2:15" ht="15.6">
      <c r="B65" s="140"/>
      <c r="C65" s="130"/>
      <c r="D65" s="141"/>
      <c r="H65" s="130"/>
      <c r="I65" s="130"/>
      <c r="J65" s="141"/>
      <c r="L65" s="146"/>
    </row>
    <row r="66" spans="2:15" ht="15.6">
      <c r="B66" s="8" t="s">
        <v>241</v>
      </c>
      <c r="C66" s="5" t="s">
        <v>282</v>
      </c>
      <c r="D66" s="142">
        <f>IF(I27=0,0,$D$59*($D$55-I27)/$D$55)</f>
        <v>-4.7982318990903434E-4</v>
      </c>
      <c r="E66" s="136" t="s">
        <v>197</v>
      </c>
      <c r="H66" s="5" t="s">
        <v>261</v>
      </c>
      <c r="I66" s="5" t="s">
        <v>282</v>
      </c>
      <c r="J66" s="10">
        <f>IF(I34=0,0,$D$59*($D$8-I34-$D$55)/$D$55)</f>
        <v>1.2065088200215941E-2</v>
      </c>
      <c r="K66" s="136" t="s">
        <v>197</v>
      </c>
      <c r="L66" s="146"/>
      <c r="M66" s="130"/>
      <c r="N66" s="131"/>
      <c r="O66" s="130"/>
    </row>
    <row r="67" spans="2:15" ht="15.6">
      <c r="B67" s="8" t="s">
        <v>242</v>
      </c>
      <c r="C67" s="5" t="s">
        <v>283</v>
      </c>
      <c r="D67" s="142">
        <f>IF(I28=0,0,$D$59*($D$55-I28)/$D$55)</f>
        <v>0</v>
      </c>
      <c r="E67" s="136" t="s">
        <v>197</v>
      </c>
      <c r="H67" s="5" t="s">
        <v>262</v>
      </c>
      <c r="I67" s="5" t="s">
        <v>283</v>
      </c>
      <c r="J67" s="10">
        <f>IF(I35=0,0,$D$59*($D$8-I35-$D$55)/$D$55)</f>
        <v>0</v>
      </c>
      <c r="K67" s="136" t="s">
        <v>197</v>
      </c>
      <c r="L67" s="146"/>
      <c r="M67" s="130"/>
      <c r="N67" s="131"/>
      <c r="O67" s="130"/>
    </row>
    <row r="68" spans="2:15" ht="15.6">
      <c r="B68" s="8" t="s">
        <v>243</v>
      </c>
      <c r="C68" s="5" t="s">
        <v>284</v>
      </c>
      <c r="D68" s="142">
        <f>IF(I29=0,0,$D$59*($D$55-I29)/$D$55)</f>
        <v>0</v>
      </c>
      <c r="E68" s="136" t="s">
        <v>197</v>
      </c>
      <c r="H68" s="5" t="s">
        <v>263</v>
      </c>
      <c r="I68" s="5" t="s">
        <v>284</v>
      </c>
      <c r="J68" s="10">
        <f>IF(I36=0,0,$D$59*($D$8-I36-$D$55)/$D$55)</f>
        <v>0</v>
      </c>
      <c r="K68" s="136" t="s">
        <v>197</v>
      </c>
      <c r="L68" s="13"/>
      <c r="M68" s="130"/>
      <c r="N68" s="131"/>
      <c r="O68" s="130"/>
    </row>
    <row r="69" spans="2:15" ht="15.6">
      <c r="B69" s="8" t="s">
        <v>244</v>
      </c>
      <c r="C69" s="5" t="s">
        <v>285</v>
      </c>
      <c r="D69" s="142">
        <f>IF(I30=0,0,$D$59*($D$55-I30)/$D$55)</f>
        <v>0</v>
      </c>
      <c r="E69" s="136" t="s">
        <v>197</v>
      </c>
      <c r="H69" s="5" t="s">
        <v>264</v>
      </c>
      <c r="I69" s="5" t="s">
        <v>285</v>
      </c>
      <c r="J69" s="10">
        <f>IF(I37=0,0,$D$59*($D$8-I37-$D$55)/$D$55)</f>
        <v>0</v>
      </c>
      <c r="K69" s="136" t="s">
        <v>197</v>
      </c>
      <c r="L69" s="13"/>
    </row>
    <row r="70" spans="2:15" ht="15.6">
      <c r="B70" s="8" t="s">
        <v>245</v>
      </c>
      <c r="C70" s="5" t="s">
        <v>286</v>
      </c>
      <c r="D70" s="142">
        <f>IF(I31=0,0,$D$59*($D$55-I31)/$D$55)</f>
        <v>0</v>
      </c>
      <c r="E70" s="136" t="s">
        <v>197</v>
      </c>
      <c r="H70" s="5" t="s">
        <v>265</v>
      </c>
      <c r="I70" s="5" t="s">
        <v>286</v>
      </c>
      <c r="J70" s="10">
        <f>IF(I38=0,0,$D$59*($D$8-I38-$D$55)/$D$55)</f>
        <v>0</v>
      </c>
      <c r="K70" s="136" t="s">
        <v>197</v>
      </c>
      <c r="L70" s="13"/>
    </row>
    <row r="71" spans="2:15" ht="15.6">
      <c r="B71" s="143"/>
      <c r="C71" s="136"/>
      <c r="D71" s="136"/>
      <c r="E71" s="136"/>
      <c r="H71" s="70"/>
      <c r="I71" s="136"/>
      <c r="J71" s="136"/>
      <c r="K71" s="136"/>
      <c r="L71" s="13"/>
    </row>
    <row r="72" spans="2:15" ht="15" customHeight="1">
      <c r="B72" s="144" t="s">
        <v>246</v>
      </c>
      <c r="C72" s="18" t="s">
        <v>287</v>
      </c>
      <c r="D72" s="149">
        <f>MIN(D66*$D$27,D24)</f>
        <v>-95.964637981806874</v>
      </c>
      <c r="E72" s="136" t="s">
        <v>25</v>
      </c>
      <c r="H72" s="108" t="s">
        <v>266</v>
      </c>
      <c r="I72" s="18" t="s">
        <v>287</v>
      </c>
      <c r="J72" s="149">
        <f>MIN(J66*$D$27,D25)</f>
        <v>500</v>
      </c>
      <c r="K72" s="136" t="s">
        <v>25</v>
      </c>
      <c r="L72" s="13"/>
    </row>
    <row r="73" spans="2:15" ht="18.600000000000001">
      <c r="B73" s="144" t="s">
        <v>247</v>
      </c>
      <c r="C73" s="18" t="s">
        <v>288</v>
      </c>
      <c r="D73" s="149">
        <f>MIN(D67*$D$27,D25)</f>
        <v>0</v>
      </c>
      <c r="E73" s="136" t="s">
        <v>25</v>
      </c>
      <c r="H73" s="108" t="s">
        <v>267</v>
      </c>
      <c r="I73" s="18" t="s">
        <v>288</v>
      </c>
      <c r="J73" s="149">
        <f>MIN(J67*$D$27,D26)</f>
        <v>0</v>
      </c>
      <c r="K73" s="136" t="s">
        <v>25</v>
      </c>
      <c r="L73" s="13"/>
    </row>
    <row r="74" spans="2:15" ht="15" customHeight="1">
      <c r="B74" s="144" t="s">
        <v>248</v>
      </c>
      <c r="C74" s="18" t="s">
        <v>289</v>
      </c>
      <c r="D74" s="149">
        <f>MIN(D68*$D$27,D26)</f>
        <v>0</v>
      </c>
      <c r="E74" s="136" t="s">
        <v>25</v>
      </c>
      <c r="H74" s="108" t="s">
        <v>268</v>
      </c>
      <c r="I74" s="18" t="s">
        <v>289</v>
      </c>
      <c r="J74" s="149">
        <f>MIN(J68*$D$27,D27)</f>
        <v>0</v>
      </c>
      <c r="K74" s="136" t="s">
        <v>25</v>
      </c>
      <c r="L74" s="13"/>
    </row>
    <row r="75" spans="2:15" ht="15.75" customHeight="1">
      <c r="B75" s="144" t="s">
        <v>249</v>
      </c>
      <c r="C75" s="18" t="s">
        <v>290</v>
      </c>
      <c r="D75" s="149">
        <f>MIN(D69*$D$27,D27)</f>
        <v>0</v>
      </c>
      <c r="E75" s="136" t="s">
        <v>25</v>
      </c>
      <c r="H75" s="108" t="s">
        <v>269</v>
      </c>
      <c r="I75" s="18" t="s">
        <v>290</v>
      </c>
      <c r="J75" s="149">
        <f>MIN(J69*$D$27,D28)</f>
        <v>0</v>
      </c>
      <c r="K75" s="136" t="s">
        <v>25</v>
      </c>
      <c r="L75" s="13"/>
    </row>
    <row r="76" spans="2:15" ht="15" customHeight="1">
      <c r="B76" s="144" t="s">
        <v>250</v>
      </c>
      <c r="C76" s="18" t="s">
        <v>291</v>
      </c>
      <c r="D76" s="149">
        <f>MIN(D70*$D$27,D28)</f>
        <v>0</v>
      </c>
      <c r="E76" s="136" t="s">
        <v>25</v>
      </c>
      <c r="H76" s="108" t="s">
        <v>270</v>
      </c>
      <c r="I76" s="18" t="s">
        <v>291</v>
      </c>
      <c r="J76" s="149">
        <f>MIN(J70*$D$27,D29)</f>
        <v>0</v>
      </c>
      <c r="K76" s="136" t="s">
        <v>25</v>
      </c>
      <c r="L76" s="13"/>
    </row>
    <row r="77" spans="2:15" ht="15.6">
      <c r="B77" s="145"/>
      <c r="C77" s="136"/>
      <c r="D77" s="149"/>
      <c r="E77" s="136"/>
      <c r="H77" s="70"/>
      <c r="I77" s="136"/>
      <c r="J77" s="149"/>
      <c r="K77" s="136"/>
      <c r="L77" s="13"/>
    </row>
    <row r="78" spans="2:15" ht="15.6">
      <c r="B78" s="144" t="s">
        <v>251</v>
      </c>
      <c r="C78" s="5" t="s">
        <v>256</v>
      </c>
      <c r="D78" s="149">
        <f>H27*ROUND(PI()*$D$15^2*0.25,-1)*D72*10^-3</f>
        <v>-537.40197269811858</v>
      </c>
      <c r="E78" s="136" t="s">
        <v>46</v>
      </c>
      <c r="H78" s="108" t="s">
        <v>271</v>
      </c>
      <c r="I78" s="5" t="s">
        <v>256</v>
      </c>
      <c r="J78" s="149">
        <f>H34*ROUND(PI()*$D$16^2*0.25,-1)*J72*10^-3</f>
        <v>2170</v>
      </c>
      <c r="K78" s="136" t="s">
        <v>46</v>
      </c>
      <c r="L78" s="13"/>
    </row>
    <row r="79" spans="2:15" ht="15.6">
      <c r="B79" s="144" t="s">
        <v>252</v>
      </c>
      <c r="C79" s="5" t="s">
        <v>257</v>
      </c>
      <c r="D79" s="149">
        <f>H28*ROUND(PI()*$D$15^2*0.25,-1)*D73*10^-3</f>
        <v>0</v>
      </c>
      <c r="E79" s="136" t="s">
        <v>46</v>
      </c>
      <c r="H79" s="108" t="s">
        <v>272</v>
      </c>
      <c r="I79" s="5" t="s">
        <v>257</v>
      </c>
      <c r="J79" s="149">
        <f>H35*ROUND(PI()*$D$16^2*0.25,-1)*J73*10^-3</f>
        <v>0</v>
      </c>
      <c r="K79" s="136" t="s">
        <v>46</v>
      </c>
      <c r="L79" s="13"/>
    </row>
    <row r="80" spans="2:15" ht="15.6">
      <c r="B80" s="144" t="s">
        <v>253</v>
      </c>
      <c r="C80" s="5" t="s">
        <v>258</v>
      </c>
      <c r="D80" s="149">
        <f>H29*ROUND(PI()*$D$15^2*0.25,-1)*D74*10^-3</f>
        <v>0</v>
      </c>
      <c r="E80" s="136" t="s">
        <v>46</v>
      </c>
      <c r="H80" s="108" t="s">
        <v>273</v>
      </c>
      <c r="I80" s="5" t="s">
        <v>258</v>
      </c>
      <c r="J80" s="149">
        <f>H36*ROUND(PI()*$D$16^2*0.25,-1)*J74*10^-3</f>
        <v>0</v>
      </c>
      <c r="K80" s="136" t="s">
        <v>46</v>
      </c>
      <c r="L80" s="13"/>
    </row>
    <row r="81" spans="2:12" ht="15.6">
      <c r="B81" s="144" t="s">
        <v>254</v>
      </c>
      <c r="C81" s="5" t="s">
        <v>259</v>
      </c>
      <c r="D81" s="149">
        <f>H30*ROUND(PI()*$D$15^2*0.25,-1)*D75*10^-3</f>
        <v>0</v>
      </c>
      <c r="E81" s="136" t="s">
        <v>46</v>
      </c>
      <c r="H81" s="108" t="s">
        <v>274</v>
      </c>
      <c r="I81" s="5" t="s">
        <v>259</v>
      </c>
      <c r="J81" s="149">
        <f>H37*ROUND(PI()*$D$16^2*0.25,-1)*J75*10^-3</f>
        <v>0</v>
      </c>
      <c r="K81" s="136" t="s">
        <v>46</v>
      </c>
      <c r="L81" s="13"/>
    </row>
    <row r="82" spans="2:12" ht="15.6">
      <c r="B82" s="144" t="s">
        <v>255</v>
      </c>
      <c r="C82" s="5" t="s">
        <v>260</v>
      </c>
      <c r="D82" s="149">
        <f>H31*ROUND(PI()*$D$15^2*0.25,-1)*D76*10^-3</f>
        <v>0</v>
      </c>
      <c r="E82" s="136" t="s">
        <v>46</v>
      </c>
      <c r="H82" s="108" t="s">
        <v>275</v>
      </c>
      <c r="I82" s="5" t="s">
        <v>260</v>
      </c>
      <c r="J82" s="149">
        <f>H38*ROUND(PI()*$D$16^2*0.25,-1)*J76*10^-3</f>
        <v>0</v>
      </c>
      <c r="K82" s="136" t="s">
        <v>46</v>
      </c>
      <c r="L82" s="13"/>
    </row>
    <row r="83" spans="2:12" ht="15.6">
      <c r="B83" s="143"/>
      <c r="C83" s="136"/>
      <c r="D83" s="149"/>
      <c r="E83" s="136"/>
      <c r="H83" s="70"/>
      <c r="I83" s="136"/>
      <c r="J83" s="136"/>
      <c r="K83" s="136"/>
      <c r="L83" s="13"/>
    </row>
    <row r="84" spans="2:12" ht="15.6">
      <c r="B84" s="144" t="s">
        <v>276</v>
      </c>
      <c r="C84" s="5" t="s">
        <v>277</v>
      </c>
      <c r="D84" s="149">
        <f>D53*D54*D23*D9*D55*10^-3</f>
        <v>2314.7620038162236</v>
      </c>
      <c r="E84" s="136" t="s">
        <v>46</v>
      </c>
      <c r="H84" s="5" t="s">
        <v>280</v>
      </c>
      <c r="I84" s="5" t="s">
        <v>281</v>
      </c>
      <c r="J84" s="72">
        <f>SUM(J78:J82)-D35/2</f>
        <v>2025</v>
      </c>
      <c r="K84" s="10" t="s">
        <v>46</v>
      </c>
      <c r="L84" s="13"/>
    </row>
    <row r="85" spans="2:12" ht="15.6">
      <c r="B85" s="143"/>
      <c r="C85" s="136"/>
      <c r="D85" s="136"/>
      <c r="E85" s="136"/>
      <c r="L85" s="13"/>
    </row>
    <row r="86" spans="2:12" ht="15.6">
      <c r="B86" s="8" t="s">
        <v>278</v>
      </c>
      <c r="C86" s="5" t="s">
        <v>279</v>
      </c>
      <c r="D86" s="72">
        <f>D84+SUM(D78:D82)+D35/2</f>
        <v>1922.3600311181049</v>
      </c>
      <c r="E86" s="10" t="s">
        <v>46</v>
      </c>
      <c r="L86" s="13"/>
    </row>
    <row r="87" spans="2:12" ht="15" thickBot="1">
      <c r="B87" s="128"/>
      <c r="C87" s="46"/>
      <c r="D87" s="46"/>
      <c r="E87" s="46"/>
      <c r="F87" s="46"/>
      <c r="G87" s="46"/>
      <c r="H87" s="46"/>
      <c r="I87" s="46"/>
      <c r="J87" s="46"/>
      <c r="K87" s="46"/>
      <c r="L87" s="47"/>
    </row>
    <row r="88" spans="2:12" ht="15" thickBot="1"/>
    <row r="89" spans="2:12" ht="18.600000000000001" thickBot="1">
      <c r="B89" s="1" t="s">
        <v>92</v>
      </c>
      <c r="C89" s="2"/>
      <c r="L89" s="19"/>
    </row>
    <row r="90" spans="2:12" ht="15" thickBot="1"/>
    <row r="91" spans="2:12" ht="15.6">
      <c r="B91" s="37" t="s">
        <v>99</v>
      </c>
      <c r="C91" s="6"/>
      <c r="D91" s="6"/>
      <c r="E91" s="6"/>
      <c r="F91" s="7"/>
    </row>
    <row r="92" spans="2:12">
      <c r="B92" s="44" t="s">
        <v>100</v>
      </c>
      <c r="F92" s="13"/>
    </row>
    <row r="93" spans="2:12" ht="15" thickBot="1">
      <c r="B93" s="122" t="s">
        <v>109</v>
      </c>
      <c r="C93" s="46"/>
      <c r="D93" s="46"/>
      <c r="E93" s="46"/>
      <c r="F93" s="47"/>
    </row>
    <row r="94" spans="2:12" ht="15" thickBot="1"/>
    <row r="95" spans="2:12" ht="15.75" customHeight="1">
      <c r="B95" s="37" t="s">
        <v>172</v>
      </c>
      <c r="C95" s="21"/>
      <c r="D95" s="21"/>
      <c r="E95" s="21"/>
      <c r="F95" s="22"/>
      <c r="H95" s="37" t="s">
        <v>173</v>
      </c>
      <c r="I95" s="21"/>
      <c r="J95" s="21"/>
      <c r="K95" s="21"/>
      <c r="L95" s="22"/>
    </row>
    <row r="96" spans="2:12" ht="15.75" customHeight="1">
      <c r="B96" s="8" t="s">
        <v>125</v>
      </c>
      <c r="C96" s="5" t="s">
        <v>114</v>
      </c>
      <c r="D96" s="10">
        <f>'PC-S1_DDR1'!D8*'PC-S1_DDR1'!D9</f>
        <v>450000</v>
      </c>
      <c r="E96" s="10" t="s">
        <v>56</v>
      </c>
      <c r="F96" s="11" t="s">
        <v>93</v>
      </c>
      <c r="H96" s="8" t="s">
        <v>125</v>
      </c>
      <c r="I96" s="5" t="s">
        <v>114</v>
      </c>
      <c r="J96" s="10">
        <f>'PC-S1_DDR1'!D8*'PC-S1_DDR1'!D9</f>
        <v>450000</v>
      </c>
      <c r="K96" s="10" t="s">
        <v>56</v>
      </c>
      <c r="L96" s="11" t="s">
        <v>93</v>
      </c>
    </row>
    <row r="97" spans="2:12" ht="15.6">
      <c r="B97" s="8" t="s">
        <v>126</v>
      </c>
      <c r="C97" s="5" t="s">
        <v>115</v>
      </c>
      <c r="D97" s="10">
        <f>2*'PC-S1_DDR1'!D8+2*'PC-S1_DDR1'!D9</f>
        <v>2900</v>
      </c>
      <c r="E97" s="10" t="s">
        <v>2</v>
      </c>
      <c r="F97" s="11" t="s">
        <v>93</v>
      </c>
      <c r="H97" s="8" t="s">
        <v>126</v>
      </c>
      <c r="I97" s="5" t="s">
        <v>115</v>
      </c>
      <c r="J97" s="10">
        <f>2*'PC-S1_DDR1'!D8+2*'PC-S1_DDR1'!D9</f>
        <v>2900</v>
      </c>
      <c r="K97" s="10" t="s">
        <v>2</v>
      </c>
      <c r="L97" s="11" t="s">
        <v>93</v>
      </c>
    </row>
    <row r="98" spans="2:12" ht="15.6">
      <c r="B98" s="8" t="s">
        <v>94</v>
      </c>
      <c r="C98" s="5" t="s">
        <v>116</v>
      </c>
      <c r="D98" s="60">
        <f>0.33*SQRT('PC-S1_DDR1'!D23)*((D96^2)/(D97))*SQRT(1)*10^-6</f>
        <v>162.93934707858983</v>
      </c>
      <c r="E98" s="50" t="s">
        <v>40</v>
      </c>
      <c r="F98" s="11" t="s">
        <v>93</v>
      </c>
      <c r="H98" s="8" t="s">
        <v>94</v>
      </c>
      <c r="I98" s="5" t="s">
        <v>116</v>
      </c>
      <c r="J98" s="60">
        <f>0.33*SQRT('PC-S1_DDR1'!D23)*((J96^2)/(J97))*SQRT(1)*10^-6</f>
        <v>162.93934707858983</v>
      </c>
      <c r="K98" s="50" t="s">
        <v>40</v>
      </c>
      <c r="L98" s="11" t="s">
        <v>93</v>
      </c>
    </row>
    <row r="99" spans="2:12" ht="15.6">
      <c r="B99" s="8" t="s">
        <v>95</v>
      </c>
      <c r="C99" s="5"/>
      <c r="D99" s="57" t="str">
        <f>IF(0.25*'PC-S1_DDR1'!D31*D98&gt;'PC-S1_DDR1'!D37,"Pass","Fail")</f>
        <v>Fail</v>
      </c>
      <c r="E99" s="51"/>
      <c r="F99" s="11" t="s">
        <v>96</v>
      </c>
      <c r="H99" s="8" t="s">
        <v>95</v>
      </c>
      <c r="I99" s="5"/>
      <c r="J99" s="57" t="str">
        <f>IF(0.25*'PC-S1_DDR1'!D31*J98&gt;'PC-S1_DDR1'!D37,"Pass","Fail")</f>
        <v>Fail</v>
      </c>
      <c r="K99" s="51"/>
      <c r="L99" s="11" t="s">
        <v>96</v>
      </c>
    </row>
    <row r="100" spans="2:12" ht="15.6">
      <c r="B100" s="8" t="s">
        <v>101</v>
      </c>
      <c r="C100" s="5" t="s">
        <v>117</v>
      </c>
      <c r="D100" s="60">
        <f>ROUND(PI()*'PC-S1_DDR1'!D21^2/4,-1)*2</f>
        <v>400</v>
      </c>
      <c r="E100" s="10" t="s">
        <v>56</v>
      </c>
      <c r="F100" s="11" t="s">
        <v>108</v>
      </c>
      <c r="H100" s="8" t="s">
        <v>101</v>
      </c>
      <c r="I100" s="5" t="s">
        <v>117</v>
      </c>
      <c r="J100" s="60">
        <f>ROUND(PI()*'PC-S1_DDR1'!D21^2/4,-1)*2</f>
        <v>400</v>
      </c>
      <c r="K100" s="10" t="s">
        <v>56</v>
      </c>
      <c r="L100" s="11" t="s">
        <v>108</v>
      </c>
    </row>
    <row r="101" spans="2:12" ht="15.6">
      <c r="B101" s="8" t="s">
        <v>107</v>
      </c>
      <c r="C101" s="5" t="s">
        <v>118</v>
      </c>
      <c r="D101" s="49">
        <f>MAX('PC-S1_DDR1'!D8:D9)-'PC-S1_DDR1'!D13-'PC-S1_DDR1'!D14-'PC-S1_DDR1'!D21</f>
        <v>869</v>
      </c>
      <c r="E101" s="10" t="s">
        <v>2</v>
      </c>
      <c r="F101" s="11" t="s">
        <v>108</v>
      </c>
      <c r="H101" s="8" t="s">
        <v>107</v>
      </c>
      <c r="I101" s="5" t="s">
        <v>118</v>
      </c>
      <c r="J101" s="49">
        <f>MAX('PC-S1_DDR1'!D8:D9)-'PC-S1_DDR1'!D13-'PC-S1_DDR1'!D14-'PC-S1_DDR1'!D21</f>
        <v>869</v>
      </c>
      <c r="K101" s="10" t="s">
        <v>2</v>
      </c>
      <c r="L101" s="11" t="s">
        <v>108</v>
      </c>
    </row>
    <row r="102" spans="2:12" ht="15.6">
      <c r="B102" s="8" t="s">
        <v>79</v>
      </c>
      <c r="C102" s="15" t="s">
        <v>80</v>
      </c>
      <c r="D102" s="60">
        <f>IF(D149="Simplified Method",36,D159)</f>
        <v>33.912705006094868</v>
      </c>
      <c r="E102" s="10" t="s">
        <v>81</v>
      </c>
      <c r="F102" s="11" t="s">
        <v>122</v>
      </c>
      <c r="H102" s="8" t="s">
        <v>79</v>
      </c>
      <c r="I102" s="15" t="s">
        <v>80</v>
      </c>
      <c r="J102" s="60">
        <f>IF(J149="Simplified Method",36,J159)</f>
        <v>35.351180601650761</v>
      </c>
      <c r="K102" s="10" t="s">
        <v>81</v>
      </c>
      <c r="L102" s="11" t="s">
        <v>122</v>
      </c>
    </row>
    <row r="103" spans="2:12" ht="30">
      <c r="B103" s="63" t="s">
        <v>110</v>
      </c>
      <c r="C103" s="64" t="s">
        <v>111</v>
      </c>
      <c r="D103" s="64">
        <f>D101*(MIN('PC-S1_DDR1'!D8:D9)-'PC-S1_DDR1'!D13-'PC-S1_DDR1'!D14-'PC-S1_DDR1'!D18)</f>
        <v>277211</v>
      </c>
      <c r="E103" s="65" t="s">
        <v>56</v>
      </c>
      <c r="F103" s="66" t="s">
        <v>119</v>
      </c>
      <c r="H103" s="63" t="s">
        <v>110</v>
      </c>
      <c r="I103" s="64" t="s">
        <v>111</v>
      </c>
      <c r="J103" s="64">
        <f>J101*(MIN('PC-S1_DDR1'!D8:D9)-'PC-S1_DDR1'!D13-'PC-S1_DDR1'!D14-'PC-S1_DDR1'!D18)</f>
        <v>277211</v>
      </c>
      <c r="K103" s="65" t="s">
        <v>56</v>
      </c>
      <c r="L103" s="66" t="s">
        <v>119</v>
      </c>
    </row>
    <row r="104" spans="2:12" ht="15.6">
      <c r="B104" s="8" t="s">
        <v>112</v>
      </c>
      <c r="C104" s="5" t="s">
        <v>113</v>
      </c>
      <c r="D104" s="60">
        <f>2*D103*((D100*'PC-S1_DDR1'!D26)/'PC-S1_DDR1'!D19)*_xlfn.COT(RADIANS(D102))*10^-6</f>
        <v>824.6719037441826</v>
      </c>
      <c r="E104" s="10" t="s">
        <v>40</v>
      </c>
      <c r="F104" s="11" t="s">
        <v>119</v>
      </c>
      <c r="H104" s="8" t="s">
        <v>112</v>
      </c>
      <c r="I104" s="5" t="s">
        <v>113</v>
      </c>
      <c r="J104" s="60">
        <f>2*J103*((J100*'PC-S1_DDR1'!D26)/'PC-S1_DDR1'!D19)*_xlfn.COT(RADIANS(J102))*10^-6</f>
        <v>781.55700135855398</v>
      </c>
      <c r="K104" s="10" t="s">
        <v>40</v>
      </c>
      <c r="L104" s="11" t="s">
        <v>119</v>
      </c>
    </row>
    <row r="105" spans="2:12" ht="16.2" thickBot="1">
      <c r="B105" s="38" t="s">
        <v>121</v>
      </c>
      <c r="C105" s="39" t="s">
        <v>52</v>
      </c>
      <c r="D105" s="59" t="str">
        <f>IF(OR(D98&lt;=D104,(D100/'PC-S1_DDR1'!D19)&gt;=(0.2*D101/'PC-S1_DDR1'!D26)),"Pass","Fail")</f>
        <v>Pass</v>
      </c>
      <c r="E105" s="46"/>
      <c r="F105" s="43" t="s">
        <v>108</v>
      </c>
      <c r="H105" s="38" t="s">
        <v>121</v>
      </c>
      <c r="I105" s="39" t="s">
        <v>52</v>
      </c>
      <c r="J105" s="59" t="str">
        <f>IF(OR(J98&lt;=J104,(J100/'PC-S1_DDR1'!D19)&gt;=(0.2*J101/'PC-S1_DDR1'!D26)),"Pass","Fail")</f>
        <v>Pass</v>
      </c>
      <c r="K105" s="46"/>
      <c r="L105" s="43" t="s">
        <v>108</v>
      </c>
    </row>
    <row r="106" spans="2:12" ht="15" thickBot="1"/>
    <row r="107" spans="2:12" ht="18.600000000000001" thickBot="1">
      <c r="B107" s="1" t="s">
        <v>98</v>
      </c>
      <c r="C107" s="2"/>
      <c r="H107" s="1" t="s">
        <v>234</v>
      </c>
      <c r="L107" s="19"/>
    </row>
    <row r="108" spans="2:12" ht="15" thickBot="1"/>
    <row r="109" spans="2:12" ht="15.6">
      <c r="B109" s="37" t="s">
        <v>99</v>
      </c>
      <c r="C109" s="6"/>
      <c r="D109" s="6"/>
      <c r="E109" s="6"/>
      <c r="F109" s="7"/>
      <c r="H109" s="125" t="s">
        <v>222</v>
      </c>
      <c r="I109" s="6"/>
      <c r="J109" s="6"/>
      <c r="K109" s="6"/>
      <c r="L109" s="7"/>
    </row>
    <row r="110" spans="2:12">
      <c r="B110" s="44" t="s">
        <v>100</v>
      </c>
      <c r="F110" s="13"/>
      <c r="H110" s="126" t="s">
        <v>223</v>
      </c>
      <c r="L110" s="13"/>
    </row>
    <row r="111" spans="2:12">
      <c r="B111" s="44" t="s">
        <v>109</v>
      </c>
      <c r="F111" s="13"/>
      <c r="H111" s="155" t="s">
        <v>323</v>
      </c>
      <c r="L111" s="13"/>
    </row>
    <row r="112" spans="2:12">
      <c r="B112" s="44" t="s">
        <v>120</v>
      </c>
      <c r="F112" s="13"/>
      <c r="H112" s="127"/>
      <c r="L112" s="13"/>
    </row>
    <row r="113" spans="2:12">
      <c r="B113" s="44" t="s">
        <v>233</v>
      </c>
      <c r="F113" s="13"/>
      <c r="H113" s="127"/>
      <c r="L113" s="13"/>
    </row>
    <row r="114" spans="2:12" ht="15" thickBot="1">
      <c r="B114" s="154" t="s">
        <v>144</v>
      </c>
      <c r="C114" s="46"/>
      <c r="D114" s="46"/>
      <c r="E114" s="46"/>
      <c r="F114" s="47"/>
      <c r="H114" s="128"/>
      <c r="I114" s="46"/>
      <c r="J114" s="46"/>
      <c r="K114" s="46"/>
      <c r="L114" s="47"/>
    </row>
    <row r="117" spans="2:12" ht="15" thickBot="1"/>
    <row r="118" spans="2:12" ht="15.6">
      <c r="B118" s="37" t="s">
        <v>172</v>
      </c>
      <c r="C118" s="21"/>
      <c r="D118" s="21"/>
      <c r="E118" s="21"/>
      <c r="F118" s="22"/>
      <c r="H118" s="37" t="s">
        <v>173</v>
      </c>
      <c r="I118" s="21"/>
      <c r="J118" s="21"/>
      <c r="K118" s="21"/>
      <c r="L118" s="22"/>
    </row>
    <row r="119" spans="2:12" ht="15.6">
      <c r="B119" s="8" t="s">
        <v>106</v>
      </c>
      <c r="C119" s="5" t="s">
        <v>105</v>
      </c>
      <c r="D119" s="49">
        <f>0.85*J103</f>
        <v>235629.35</v>
      </c>
      <c r="E119" t="s">
        <v>56</v>
      </c>
      <c r="F119" s="11" t="s">
        <v>137</v>
      </c>
      <c r="H119" s="8" t="s">
        <v>106</v>
      </c>
      <c r="I119" s="5" t="s">
        <v>105</v>
      </c>
      <c r="J119" s="49">
        <f>0.85*D103</f>
        <v>235629.35</v>
      </c>
      <c r="K119" t="s">
        <v>56</v>
      </c>
      <c r="L119" s="11" t="s">
        <v>137</v>
      </c>
    </row>
    <row r="120" spans="2:12" ht="15.6">
      <c r="B120" s="8" t="s">
        <v>44</v>
      </c>
      <c r="C120" s="5" t="s">
        <v>104</v>
      </c>
      <c r="D120" s="49">
        <f>SQRT(('PC-S1_DDR1'!D36^2)+((0.9*'PC-S1_DDR1'!D37*(D127/1000))/(2*D119*10^-6))^2)</f>
        <v>359.04091059233338</v>
      </c>
      <c r="E120" t="s">
        <v>46</v>
      </c>
      <c r="F120" s="11"/>
      <c r="H120" s="8" t="s">
        <v>44</v>
      </c>
      <c r="I120" s="5" t="s">
        <v>320</v>
      </c>
      <c r="J120" s="49">
        <f>SQRT(('PC-S1_DDR1'!D36^2)+((0.9*'PC-S1_DDR1'!D37*(J127/1000))/(2*J119*10^-6))^2)</f>
        <v>362.06809785136329</v>
      </c>
      <c r="K120" t="s">
        <v>46</v>
      </c>
      <c r="L120" s="11"/>
    </row>
    <row r="121" spans="2:12" ht="15.6">
      <c r="B121" s="8" t="s">
        <v>128</v>
      </c>
      <c r="C121" s="5" t="s">
        <v>127</v>
      </c>
      <c r="D121" s="10">
        <f>'PC-S1_DDR1'!D9</f>
        <v>1000</v>
      </c>
      <c r="E121" s="50" t="s">
        <v>129</v>
      </c>
      <c r="F121" s="11" t="s">
        <v>130</v>
      </c>
      <c r="H121" s="8" t="s">
        <v>128</v>
      </c>
      <c r="I121" s="5" t="s">
        <v>127</v>
      </c>
      <c r="J121" s="10">
        <f>'PC-S1_DDR1'!D9</f>
        <v>1000</v>
      </c>
      <c r="K121" s="50" t="s">
        <v>129</v>
      </c>
      <c r="L121" s="11" t="s">
        <v>130</v>
      </c>
    </row>
    <row r="122" spans="2:12" ht="15.6">
      <c r="B122" s="8" t="s">
        <v>132</v>
      </c>
      <c r="C122" s="5" t="s">
        <v>133</v>
      </c>
      <c r="D122" s="10">
        <f>MAX(0.72*'PC-S1_DDR1'!D8,0.9*'PC-S1_DDR1'!D11)</f>
        <v>324</v>
      </c>
      <c r="E122" s="10" t="s">
        <v>2</v>
      </c>
      <c r="F122" s="11" t="s">
        <v>21</v>
      </c>
      <c r="H122" s="8" t="s">
        <v>132</v>
      </c>
      <c r="I122" s="5" t="s">
        <v>133</v>
      </c>
      <c r="J122" s="10">
        <f>MAX(0.72*'PC-S1_DDR1'!D8,0.9*'PC-S1_DDR1'!D11)</f>
        <v>324</v>
      </c>
      <c r="K122" s="10" t="s">
        <v>2</v>
      </c>
      <c r="L122" s="11" t="s">
        <v>319</v>
      </c>
    </row>
    <row r="123" spans="2:12" ht="15.6">
      <c r="B123" s="8" t="s">
        <v>83</v>
      </c>
      <c r="C123" s="5" t="s">
        <v>84</v>
      </c>
      <c r="D123" s="49">
        <f>0.08*SQRT('PC-S1_DDR1'!D23)*D121/'PC-S1_DDR1'!D26*'PC-S1_DDR1'!D19</f>
        <v>226.27416997969522</v>
      </c>
      <c r="E123" s="10" t="s">
        <v>56</v>
      </c>
      <c r="F123" s="11" t="s">
        <v>131</v>
      </c>
      <c r="H123" s="8" t="s">
        <v>83</v>
      </c>
      <c r="I123" s="5" t="s">
        <v>84</v>
      </c>
      <c r="J123" s="49">
        <f>0.08*SQRT('PC-S1_DDR1'!D23)*J121/'PC-S1_DDR1'!D26*'PC-S1_DDR1'!D19</f>
        <v>226.27416997969522</v>
      </c>
      <c r="K123" s="10" t="s">
        <v>56</v>
      </c>
      <c r="L123" s="11" t="s">
        <v>131</v>
      </c>
    </row>
    <row r="124" spans="2:12" ht="15.6">
      <c r="B124" s="8" t="s">
        <v>141</v>
      </c>
      <c r="C124" s="5" t="s">
        <v>82</v>
      </c>
      <c r="D124" s="10">
        <f>(ROUND(PI()*'PC-S1_DDR1'!D18^2/4,-1))*'PC-S1_DDR1'!D20</f>
        <v>400</v>
      </c>
      <c r="E124" t="s">
        <v>56</v>
      </c>
      <c r="F124" s="13"/>
      <c r="H124" s="8" t="s">
        <v>141</v>
      </c>
      <c r="I124" s="5" t="s">
        <v>82</v>
      </c>
      <c r="J124" s="10">
        <f>(ROUND(PI()*'PC-S1_DDR1'!D18^2/4,-1))*'PC-S1_DDR1'!D20</f>
        <v>400</v>
      </c>
      <c r="K124" s="10" t="s">
        <v>56</v>
      </c>
      <c r="L124" s="13"/>
    </row>
    <row r="125" spans="2:12" ht="15.6">
      <c r="B125" s="8" t="s">
        <v>85</v>
      </c>
      <c r="C125" s="5" t="s">
        <v>52</v>
      </c>
      <c r="D125" s="57" t="str">
        <f>IF(D124&gt;D123,"Pass","Fail")</f>
        <v>Pass</v>
      </c>
      <c r="F125" s="14"/>
      <c r="H125" s="8" t="s">
        <v>85</v>
      </c>
      <c r="I125" s="5" t="s">
        <v>52</v>
      </c>
      <c r="J125" s="57" t="str">
        <f>IF(J124&gt;J123,"Pass","Fail")</f>
        <v>Pass</v>
      </c>
      <c r="L125" s="14"/>
    </row>
    <row r="126" spans="2:12" ht="15.6">
      <c r="B126" s="8" t="s">
        <v>75</v>
      </c>
      <c r="C126" s="5" t="s">
        <v>76</v>
      </c>
      <c r="D126" s="61">
        <f>0.55*(0.9*'PC-S1_DDR1'!D23*D121*D122*(((_xlfn.COT(RADIANS(J102)))+0)/(1+(_xlfn.COT(RADIANS(J102)))^2)))*10^-3*IF(D125="Pass",0.75,0.7)</f>
        <v>2838.1683934273028</v>
      </c>
      <c r="E126" s="50" t="s">
        <v>46</v>
      </c>
      <c r="F126" s="11" t="s">
        <v>135</v>
      </c>
      <c r="H126" s="8" t="s">
        <v>75</v>
      </c>
      <c r="I126" s="5" t="s">
        <v>76</v>
      </c>
      <c r="J126" s="61">
        <f>0.55*(0.9*'PC-S1_DDR1'!D23*J121*J122*(((_xlfn.COT(RADIANS(D102)))+0)/(1+(_xlfn.COT(RADIANS(D102)))^2)))*10^-3*IF(J125="Pass",0.75,0.7)</f>
        <v>2784.7122064408859</v>
      </c>
      <c r="K126" s="50" t="s">
        <v>46</v>
      </c>
      <c r="L126" s="11" t="s">
        <v>135</v>
      </c>
    </row>
    <row r="127" spans="2:12" ht="15.6">
      <c r="B127" s="52" t="s">
        <v>316</v>
      </c>
      <c r="C127" s="48"/>
      <c r="D127" s="62">
        <f>J101*2+(MIN('PC-S1_DDR1'!D8:D9)-'PC-S1_DDR1'!D14-'PC-S1_DDR1'!D14-'PC-S1_DDR1'!D21)*2</f>
        <v>2346</v>
      </c>
      <c r="E127" t="s">
        <v>2</v>
      </c>
      <c r="F127" s="55" t="s">
        <v>179</v>
      </c>
      <c r="H127" s="52" t="s">
        <v>322</v>
      </c>
      <c r="I127" s="33"/>
      <c r="J127" s="62">
        <f>D101*2+(MIN('PC-S1_DDR1'!D8:D9)-'PC-S1_DDR1'!D13-'PC-S1_DDR1'!D14-'PC-S1_DDR1'!D21)*2</f>
        <v>2376</v>
      </c>
      <c r="K127" s="50" t="s">
        <v>2</v>
      </c>
      <c r="L127" s="55" t="s">
        <v>179</v>
      </c>
    </row>
    <row r="128" spans="2:12" ht="15.6">
      <c r="B128" s="53"/>
      <c r="C128" s="54" t="s">
        <v>136</v>
      </c>
      <c r="D128" s="58" t="str">
        <f>IF(D126*1000/(D121*D122)&gt;=SQRT((('PC-S1_DDR1'!D36*1000/(D121*D122))^2)+(('PC-S1_DDR1'!D37*1000000*D127)/(1.7*J103^2))^2),"Pass","Fail")</f>
        <v>Pass</v>
      </c>
      <c r="E128" s="10"/>
      <c r="F128" s="55" t="s">
        <v>179</v>
      </c>
      <c r="H128" s="53"/>
      <c r="I128" s="54" t="s">
        <v>136</v>
      </c>
      <c r="J128" s="58" t="str">
        <f>IF(J126*1000/(J121*J122)&gt;=SQRT((('PC-S1_DDR1'!D36*1000/(J121*J122))^2)+(('PC-S1_DDR1'!D37*1000000*J127)/(1.7*D103^2))^2),"Pass","Fail")</f>
        <v>Pass</v>
      </c>
      <c r="K128" s="10"/>
      <c r="L128" s="55" t="s">
        <v>179</v>
      </c>
    </row>
    <row r="129" spans="2:12" ht="15.6">
      <c r="B129" s="8" t="s">
        <v>138</v>
      </c>
      <c r="C129" s="5" t="s">
        <v>139</v>
      </c>
      <c r="D129" s="56">
        <f>IF(D149="Simplified Method",0.15,D158)</f>
        <v>0.19486316330897149</v>
      </c>
      <c r="E129" s="10"/>
      <c r="F129" s="11" t="s">
        <v>140</v>
      </c>
      <c r="H129" s="8" t="s">
        <v>138</v>
      </c>
      <c r="I129" s="5" t="s">
        <v>139</v>
      </c>
      <c r="J129" s="56">
        <f>IF(J149="Simplified Method",0.15,J158)</f>
        <v>0.16942208593092359</v>
      </c>
      <c r="K129" s="10"/>
      <c r="L129" s="11" t="s">
        <v>140</v>
      </c>
    </row>
    <row r="130" spans="2:12" ht="15.6">
      <c r="B130" s="8" t="s">
        <v>77</v>
      </c>
      <c r="C130" s="5" t="s">
        <v>78</v>
      </c>
      <c r="D130" s="61">
        <f>D129*D121*D122*SQRT('PC-S1_DDR1'!D23)*10^-3*IF(J125="Pass",0.75,0.7)</f>
        <v>334.82742595554197</v>
      </c>
      <c r="E130" s="10" t="s">
        <v>46</v>
      </c>
      <c r="F130" s="11" t="s">
        <v>142</v>
      </c>
      <c r="H130" s="8" t="s">
        <v>77</v>
      </c>
      <c r="I130" s="5" t="s">
        <v>78</v>
      </c>
      <c r="J130" s="61">
        <f>J129*J121*J122*SQRT('PC-S1_DDR1'!D23)*10^-3*IF(J125="Pass",0.75,0.7)</f>
        <v>291.11279920219829</v>
      </c>
      <c r="K130" s="10" t="s">
        <v>46</v>
      </c>
      <c r="L130" s="11" t="s">
        <v>142</v>
      </c>
    </row>
    <row r="131" spans="2:12" ht="15.6">
      <c r="B131" s="8" t="s">
        <v>86</v>
      </c>
      <c r="C131" s="5" t="s">
        <v>87</v>
      </c>
      <c r="D131" s="61">
        <f>((D124*'PC-S1_DDR1'!D26*D122/'PC-S1_DDR1'!D19)*_xlfn.COT(RADIANS(J102)))*10^-3*IF(J125="Pass",0.75,0.7)</f>
        <v>342.55197544492933</v>
      </c>
      <c r="E131" s="10" t="s">
        <v>46</v>
      </c>
      <c r="F131" s="11" t="s">
        <v>88</v>
      </c>
      <c r="H131" s="8" t="s">
        <v>86</v>
      </c>
      <c r="I131" s="5" t="s">
        <v>87</v>
      </c>
      <c r="J131" s="61">
        <f>((J124*'PC-S1_DDR1'!D26*J122/'PC-S1_DDR1'!D19)*_xlfn.COT(RADIANS(D102)))*10^-3*IF(J125="Pass",0.75,0.7)</f>
        <v>361.44899121938954</v>
      </c>
      <c r="K131" s="10" t="s">
        <v>46</v>
      </c>
      <c r="L131" s="11" t="s">
        <v>88</v>
      </c>
    </row>
    <row r="132" spans="2:12" ht="15.6">
      <c r="B132" s="8" t="s">
        <v>89</v>
      </c>
      <c r="C132" s="15" t="s">
        <v>90</v>
      </c>
      <c r="D132" s="72">
        <f>(D130+D131)</f>
        <v>677.37940140047135</v>
      </c>
      <c r="E132" s="10" t="s">
        <v>46</v>
      </c>
      <c r="F132" s="11" t="s">
        <v>91</v>
      </c>
      <c r="H132" s="8" t="s">
        <v>89</v>
      </c>
      <c r="I132" s="15" t="s">
        <v>90</v>
      </c>
      <c r="J132" s="72">
        <f>(J130+J131)</f>
        <v>652.56179042158783</v>
      </c>
      <c r="K132" s="10" t="s">
        <v>46</v>
      </c>
      <c r="L132" s="11" t="s">
        <v>91</v>
      </c>
    </row>
    <row r="133" spans="2:12" ht="15.6">
      <c r="B133" s="8" t="s">
        <v>143</v>
      </c>
      <c r="C133" s="5" t="s">
        <v>52</v>
      </c>
      <c r="D133" s="57" t="str">
        <f>IF(D132&gt;D120,"Pass","Fail")</f>
        <v>Pass</v>
      </c>
      <c r="E133" s="10"/>
      <c r="F133" s="14"/>
      <c r="H133" s="8" t="s">
        <v>143</v>
      </c>
      <c r="I133" s="5" t="s">
        <v>52</v>
      </c>
      <c r="J133" s="57" t="str">
        <f>IF(J132&gt;J120,"Pass","Fail")</f>
        <v>Pass</v>
      </c>
      <c r="K133" s="10"/>
      <c r="L133" s="14"/>
    </row>
    <row r="134" spans="2:12" ht="15.6">
      <c r="B134" s="8" t="s">
        <v>203</v>
      </c>
      <c r="C134" s="5" t="s">
        <v>204</v>
      </c>
      <c r="D134" s="61">
        <f>0.5*(D36+D130)*_xlfn.COT(RADIANS(J102))+0.5*D37*(D127/(2*D119))*10^-3*_xlfn.COT(RADIANS(D102))</f>
        <v>384.01610698641093</v>
      </c>
      <c r="E134" s="10" t="s">
        <v>46</v>
      </c>
      <c r="F134" s="11" t="s">
        <v>205</v>
      </c>
      <c r="H134" s="8" t="s">
        <v>203</v>
      </c>
      <c r="I134" s="5" t="s">
        <v>204</v>
      </c>
      <c r="J134" s="61">
        <f>0.5*(D36+J130)*_xlfn.COT(RADIANS(D102))+0.5*D37*(J127/(2*J119))*10^-3*_xlfn.COT(RADIANS(D102))</f>
        <v>372.6889592842208</v>
      </c>
      <c r="K134" s="10" t="s">
        <v>46</v>
      </c>
      <c r="L134" s="11" t="s">
        <v>205</v>
      </c>
    </row>
    <row r="135" spans="2:12" ht="15.6">
      <c r="B135" s="8" t="s">
        <v>206</v>
      </c>
      <c r="C135" s="5" t="s">
        <v>207</v>
      </c>
      <c r="D135" s="61">
        <f>(J55*'PC-S1_DDR1'!D54*'PC-S1_DDR1'!J53)+('PC-S1_DDR1'!J53-J55*'PC-S1_DDR1'!J53)</f>
        <v>356.64128787526465</v>
      </c>
      <c r="E135" s="10" t="s">
        <v>2</v>
      </c>
      <c r="F135" s="11" t="s">
        <v>208</v>
      </c>
      <c r="H135" s="8" t="s">
        <v>206</v>
      </c>
      <c r="I135" s="5" t="s">
        <v>207</v>
      </c>
      <c r="J135" s="61">
        <f>('PC-S1_DDR1'!J55*'PC-S1_DDR1'!D54*'PC-S1_DDR1'!D50)+('PC-S1_DDR1'!D50-'PC-S1_DDR1'!J55*'PC-S1_DDR1'!D50)</f>
        <v>344.04254672749721</v>
      </c>
      <c r="K135" s="10" t="s">
        <v>2</v>
      </c>
      <c r="L135" s="11" t="s">
        <v>208</v>
      </c>
    </row>
    <row r="136" spans="2:12" ht="15.6">
      <c r="B136" s="8" t="s">
        <v>209</v>
      </c>
      <c r="C136" s="5" t="s">
        <v>210</v>
      </c>
      <c r="D136" s="61">
        <f>(D34/(D135/1000))+(-'PC-S1_DDR1'!D35/2)+D134</f>
        <v>1472.7487536503891</v>
      </c>
      <c r="E136" s="10" t="s">
        <v>46</v>
      </c>
      <c r="F136" s="11" t="s">
        <v>211</v>
      </c>
      <c r="H136" s="8" t="s">
        <v>209</v>
      </c>
      <c r="I136" s="5" t="s">
        <v>210</v>
      </c>
      <c r="J136" s="61">
        <f>(D33/(J135/1000))+(-'PC-S1_DDR1'!D35/2)+J134</f>
        <v>1186.872650775088</v>
      </c>
      <c r="K136" s="10" t="s">
        <v>46</v>
      </c>
      <c r="L136" s="11" t="s">
        <v>211</v>
      </c>
    </row>
    <row r="137" spans="2:12" ht="15.6">
      <c r="B137" s="8" t="s">
        <v>212</v>
      </c>
      <c r="C137" s="5" t="s">
        <v>213</v>
      </c>
      <c r="D137" s="56">
        <f>'PC-S1_DDR1'!D30+((0.85-'PC-S1_DDR1'!D30)*(D136/('PC-S1_DDR1'!D52*'PC-S1_DDR1'!D25*10^-3)))</f>
        <v>0.82629908488661408</v>
      </c>
      <c r="E137" s="10"/>
      <c r="F137" s="11" t="s">
        <v>214</v>
      </c>
      <c r="H137" s="8" t="s">
        <v>212</v>
      </c>
      <c r="I137" s="5" t="s">
        <v>213</v>
      </c>
      <c r="J137" s="56">
        <f>'PC-S1_DDR1'!D30+((0.85-'PC-S1_DDR1'!D30)*(J136/('PC-S1_DDR1'!D51*'PC-S1_DDR1'!D25*10^-3)))</f>
        <v>0.82734729610080848</v>
      </c>
      <c r="K137" s="10"/>
      <c r="L137" s="11" t="s">
        <v>214</v>
      </c>
    </row>
    <row r="138" spans="2:12" ht="15.6">
      <c r="B138" s="8" t="s">
        <v>215</v>
      </c>
      <c r="C138" s="5" t="s">
        <v>55</v>
      </c>
      <c r="D138" s="61">
        <f>((D136*1000)/D137)/'PC-S1_DDR1'!D24</f>
        <v>3564.6868805439422</v>
      </c>
      <c r="E138" s="10" t="s">
        <v>56</v>
      </c>
      <c r="F138" s="11" t="s">
        <v>211</v>
      </c>
      <c r="H138" s="8" t="s">
        <v>215</v>
      </c>
      <c r="I138" s="5" t="s">
        <v>55</v>
      </c>
      <c r="J138" s="61">
        <f>((J136*1000)/J137)/'PC-S1_DDR1'!D24</f>
        <v>2869.1038367289789</v>
      </c>
      <c r="K138" s="10" t="s">
        <v>56</v>
      </c>
      <c r="L138" s="11" t="s">
        <v>211</v>
      </c>
    </row>
    <row r="139" spans="2:12" ht="15.6">
      <c r="B139" s="8" t="s">
        <v>216</v>
      </c>
      <c r="C139" s="5"/>
      <c r="D139" s="58" t="str">
        <f>IF(D138&lt;D152,"Pass","Fail")</f>
        <v>Pass</v>
      </c>
      <c r="E139" s="114"/>
      <c r="F139" s="13"/>
      <c r="H139" s="8" t="s">
        <v>216</v>
      </c>
      <c r="I139" s="5"/>
      <c r="J139" s="58" t="str">
        <f>IF(J138&lt;J152,"Pass","Fail")</f>
        <v>Pass</v>
      </c>
      <c r="K139" s="114"/>
      <c r="L139" s="13"/>
    </row>
    <row r="140" spans="2:12" ht="15.6">
      <c r="B140" s="178" t="s">
        <v>228</v>
      </c>
      <c r="C140" s="179"/>
      <c r="D140" s="179"/>
      <c r="E140" s="179"/>
      <c r="F140" s="180"/>
      <c r="H140" s="178" t="s">
        <v>228</v>
      </c>
      <c r="I140" s="179"/>
      <c r="J140" s="179"/>
      <c r="K140" s="179"/>
      <c r="L140" s="180"/>
    </row>
    <row r="141" spans="2:12" ht="15.6">
      <c r="B141" s="8" t="s">
        <v>217</v>
      </c>
      <c r="C141" s="5" t="s">
        <v>218</v>
      </c>
      <c r="D141" s="61">
        <f>(-D154/(D135/1000))+('PC-S1_DDR1'!D35/2)+D134</f>
        <v>-704.7165396775672</v>
      </c>
      <c r="E141" s="10" t="s">
        <v>46</v>
      </c>
      <c r="F141" s="11" t="s">
        <v>219</v>
      </c>
      <c r="H141" s="8" t="s">
        <v>217</v>
      </c>
      <c r="I141" s="5" t="s">
        <v>218</v>
      </c>
      <c r="J141" s="61">
        <f>(-J154/(J135/1000))+('PC-S1_DDR1'!D35/2)+J134</f>
        <v>-761.22262937026881</v>
      </c>
      <c r="K141" s="10" t="s">
        <v>46</v>
      </c>
      <c r="L141" s="11" t="s">
        <v>219</v>
      </c>
    </row>
    <row r="142" spans="2:12" ht="15.6">
      <c r="B142" s="8" t="s">
        <v>212</v>
      </c>
      <c r="C142" s="5" t="s">
        <v>213</v>
      </c>
      <c r="D142" s="56">
        <f>'PC-S1_DDR1'!D30</f>
        <v>0.8</v>
      </c>
      <c r="F142" s="11" t="s">
        <v>214</v>
      </c>
      <c r="H142" s="8" t="s">
        <v>212</v>
      </c>
      <c r="I142" s="5" t="s">
        <v>213</v>
      </c>
      <c r="J142" s="56">
        <f>'PC-S1_DDR1'!D30</f>
        <v>0.8</v>
      </c>
      <c r="L142" s="11" t="s">
        <v>214</v>
      </c>
    </row>
    <row r="143" spans="2:12" ht="15.6">
      <c r="B143" s="8" t="s">
        <v>220</v>
      </c>
      <c r="C143" s="5" t="s">
        <v>221</v>
      </c>
      <c r="D143" s="61">
        <f>(D141*1000)/D142/'PC-S1_DDR1'!D24</f>
        <v>-1761.7913491939178</v>
      </c>
      <c r="E143" s="10" t="s">
        <v>56</v>
      </c>
      <c r="F143" s="11" t="s">
        <v>219</v>
      </c>
      <c r="H143" s="8" t="s">
        <v>220</v>
      </c>
      <c r="I143" s="5" t="s">
        <v>221</v>
      </c>
      <c r="J143" s="61">
        <f>(J141*1000)/J142/'PC-S1_DDR1'!D24</f>
        <v>-1903.0565734256718</v>
      </c>
      <c r="K143" s="10" t="s">
        <v>56</v>
      </c>
      <c r="L143" s="11" t="s">
        <v>219</v>
      </c>
    </row>
    <row r="144" spans="2:12" ht="16.2" thickBot="1">
      <c r="B144" s="38" t="s">
        <v>216</v>
      </c>
      <c r="C144" s="39"/>
      <c r="D144" s="115" t="str">
        <f>IF(J143&lt;(SUM('PC-S1_DDR1'!H34:H38)*(ROUND(PI()*'PC-S1_DDR1'!D16^2*0.25,-1))),"Pass","Fail")</f>
        <v>Pass</v>
      </c>
      <c r="E144" s="116"/>
      <c r="F144" s="47"/>
      <c r="H144" s="38" t="s">
        <v>216</v>
      </c>
      <c r="I144" s="39"/>
      <c r="J144" s="115" t="str">
        <f>IF(J143&lt;(SUM('PC-S1_DDR1'!H27:H31)*(ROUND(PI()*'PC-S1_DDR1'!D15^2*0.25,-1))),"Pass","Fail")</f>
        <v>Pass</v>
      </c>
      <c r="K144" s="116"/>
      <c r="L144" s="47"/>
    </row>
    <row r="145" spans="2:12" ht="15" thickBot="1"/>
    <row r="146" spans="2:12" ht="18.600000000000001" thickBot="1">
      <c r="B146" s="1" t="s">
        <v>180</v>
      </c>
      <c r="F146" s="19"/>
      <c r="L146" s="19"/>
    </row>
    <row r="147" spans="2:12" ht="15" thickBot="1"/>
    <row r="148" spans="2:12">
      <c r="B148" s="106"/>
      <c r="C148" s="6"/>
      <c r="D148" s="6"/>
      <c r="E148" s="6"/>
      <c r="F148" s="7"/>
      <c r="H148" s="106"/>
      <c r="I148" s="6"/>
      <c r="J148" s="6"/>
      <c r="K148" s="6"/>
      <c r="L148" s="7"/>
    </row>
    <row r="149" spans="2:12" ht="15.6">
      <c r="B149" s="8" t="s">
        <v>181</v>
      </c>
      <c r="D149" s="181" t="s">
        <v>321</v>
      </c>
      <c r="E149" s="181"/>
      <c r="F149" s="107" t="str">
        <f>IF(D149="Simplified Method","[cl.8.2.4.3]","[cl.8.2.4.2]")</f>
        <v>[cl.8.2.4.2]</v>
      </c>
      <c r="H149" s="8" t="s">
        <v>181</v>
      </c>
      <c r="J149" s="181" t="s">
        <v>321</v>
      </c>
      <c r="K149" s="181"/>
      <c r="L149" s="107" t="str">
        <f>IF(J149="Simplified Method","[cl.8.2.4.3]","[cl.8.2.4.2]")</f>
        <v>[cl.8.2.4.2]</v>
      </c>
    </row>
    <row r="150" spans="2:12" ht="15.6">
      <c r="B150" s="8" t="s">
        <v>182</v>
      </c>
      <c r="C150" s="108" t="s">
        <v>183</v>
      </c>
      <c r="D150" s="70">
        <f>IF('PC-S1_DDR1'!D23&lt;=65,IF('PC-S1_DDR1'!D28&gt;=16,1,MAX(32/(16+'PC-S1_DDR1'!D28),0.8)),2)</f>
        <v>1</v>
      </c>
      <c r="E150" s="70"/>
      <c r="F150" s="11" t="s">
        <v>184</v>
      </c>
      <c r="H150" s="8" t="s">
        <v>182</v>
      </c>
      <c r="I150" s="108" t="s">
        <v>183</v>
      </c>
      <c r="J150" s="70">
        <f>IF('PC-S1_DDR1'!D23&lt;=65,IF('PC-S1_DDR1'!D28&gt;=16,1,MAX(32/(16+'PC-S1_DDR1'!D28),0.8)),2)</f>
        <v>1</v>
      </c>
      <c r="K150" s="70"/>
      <c r="L150" s="11" t="s">
        <v>184</v>
      </c>
    </row>
    <row r="151" spans="2:12" ht="15.6">
      <c r="B151" s="8" t="s">
        <v>185</v>
      </c>
      <c r="C151" s="108"/>
      <c r="D151" s="57" t="str">
        <f>IF(J99="Fail","Yes","No")</f>
        <v>Yes</v>
      </c>
      <c r="E151" s="70"/>
      <c r="F151" s="13"/>
      <c r="H151" s="8" t="s">
        <v>185</v>
      </c>
      <c r="I151" s="108"/>
      <c r="J151" s="57" t="str">
        <f>IF(D99="Fail","Yes","No")</f>
        <v>Yes</v>
      </c>
      <c r="K151" s="70"/>
      <c r="L151" s="13"/>
    </row>
    <row r="152" spans="2:12" ht="15.6">
      <c r="B152" s="8" t="s">
        <v>186</v>
      </c>
      <c r="C152" s="108" t="s">
        <v>55</v>
      </c>
      <c r="D152" s="71">
        <f>'PC-S1_DDR1'!D52</f>
        <v>5600</v>
      </c>
      <c r="E152" s="70" t="s">
        <v>56</v>
      </c>
      <c r="F152" s="11" t="s">
        <v>187</v>
      </c>
      <c r="H152" s="8" t="s">
        <v>186</v>
      </c>
      <c r="I152" s="108" t="s">
        <v>55</v>
      </c>
      <c r="J152" s="71">
        <f>'PC-S1_DDR1'!D51</f>
        <v>4340</v>
      </c>
      <c r="K152" s="70" t="s">
        <v>56</v>
      </c>
      <c r="L152" s="11" t="s">
        <v>187</v>
      </c>
    </row>
    <row r="153" spans="2:12" ht="15.6">
      <c r="B153" s="8" t="s">
        <v>188</v>
      </c>
      <c r="C153" s="108" t="s">
        <v>189</v>
      </c>
      <c r="D153" s="70">
        <f>J96/2-'PC-S1_DDR1'!D52</f>
        <v>219400</v>
      </c>
      <c r="E153" s="70" t="s">
        <v>56</v>
      </c>
      <c r="F153" s="11" t="s">
        <v>187</v>
      </c>
      <c r="H153" s="8" t="s">
        <v>188</v>
      </c>
      <c r="I153" s="108" t="s">
        <v>189</v>
      </c>
      <c r="J153" s="70">
        <f>D96/2-'PC-S1_DDR1'!D51</f>
        <v>220660</v>
      </c>
      <c r="K153" s="70" t="s">
        <v>56</v>
      </c>
      <c r="L153" s="11" t="s">
        <v>187</v>
      </c>
    </row>
    <row r="154" spans="2:12" ht="15.6">
      <c r="B154" s="8" t="s">
        <v>190</v>
      </c>
      <c r="C154" s="108" t="s">
        <v>191</v>
      </c>
      <c r="D154" s="118">
        <f>IF(D151="Yes",IF('PC-S1_DDR1'!J34&gt;=(D122/1000)*SQRT(('PC-S1_DDR1'!D36^2)+((0.9*'PC-S1_DDR1'!D37*D127/1000)/(2*D119/1000000))^2),'PC-S1_DDR1'!D34,(D122/1000)*SQRT(('PC-S1_DDR1'!D36^2)+((0.9*'PC-S1_DDR1'!D37*D127/1000)/(2*D119/1000000))^2)),IF('PC-S1_DDR1'!D34&gt;=('PC-S1_DDR1'!D36*D122/1000),'PC-S1_DDR1'!D34,('PC-S1_DDR1'!D36*D122/1000)))</f>
        <v>440</v>
      </c>
      <c r="E154" s="70" t="s">
        <v>192</v>
      </c>
      <c r="F154" s="11" t="s">
        <v>187</v>
      </c>
      <c r="H154" s="8" t="s">
        <v>190</v>
      </c>
      <c r="I154" s="108" t="s">
        <v>191</v>
      </c>
      <c r="J154" s="118">
        <f>IF(J151="Yes",IF('PC-S1_DDR1'!D34&gt;=(J122/1000)*SQRT(('PC-S1_DDR1'!D36^2)+((0.9*'PC-S1_DDR1'!D37*J127/1000)/(2*J119/1000000))^2),'PC-S1_DDR1'!D34,(J122/1000)*SQRT(('PC-S1_DDR1'!D36^2)+((0.9*'PC-S1_DDR1'!D37*J127/1000)/(2*J119/1000000))^2)),IF('PC-S1_DDR1'!D34&gt;=('PC-S1_DDR1'!D36*J122/1000),'PC-S1_DDR1'!D34,('PC-S1_DDR1'!D36*J122/1000)))</f>
        <v>440</v>
      </c>
      <c r="K154" s="70" t="s">
        <v>192</v>
      </c>
      <c r="L154" s="11" t="s">
        <v>187</v>
      </c>
    </row>
    <row r="155" spans="2:12" ht="15.6">
      <c r="B155" s="8" t="s">
        <v>193</v>
      </c>
      <c r="C155" s="108" t="s">
        <v>194</v>
      </c>
      <c r="D155" s="70">
        <f>IF(D151="Yes",ABS(D154/(D122/1000))+SQRT((ABS('PC-S1_DDR1'!D36)^2)+((0.9*'PC-S1_DDR1'!D37*D127/1000)/(2*D119/1000000))^2)+0.5*(-1*'PC-S1_DDR1'!D35),ABS(D154/(D122/1000))+ABS('PC-S1_DDR1'!D36)+0.5*(-1*'PC-S1_DDR1'!D35))</f>
        <v>1572.0656019503581</v>
      </c>
      <c r="E155" s="70" t="s">
        <v>46</v>
      </c>
      <c r="F155" s="11" t="s">
        <v>187</v>
      </c>
      <c r="H155" s="8" t="s">
        <v>193</v>
      </c>
      <c r="I155" s="108" t="s">
        <v>194</v>
      </c>
      <c r="J155" s="117">
        <f>IF(J151="Yes",ABS(J154/(J122/1000))+SQRT((ABS('PC-S1_DDR1'!D36)^2)+((0.9*'PC-S1_DDR1'!D37*J127/1000)/(2*J119/1000000))^2)+0.5*(-1*'PC-S1_DDR1'!D35),ABS(J154/(J122/1000))+ABS('PC-S1_DDR1'!D36)+0.5*(-1*'PC-S1_DDR1'!D35))</f>
        <v>1575.0927892093882</v>
      </c>
      <c r="K155" s="70" t="s">
        <v>46</v>
      </c>
      <c r="L155" s="11" t="s">
        <v>187</v>
      </c>
    </row>
    <row r="156" spans="2:12" ht="15.6">
      <c r="B156" s="8" t="s">
        <v>195</v>
      </c>
      <c r="C156" s="108" t="s">
        <v>196</v>
      </c>
      <c r="D156" s="109">
        <f>MIN(D155*1000/(2*('PC-S1_DDR1'!D27*'PC-S1_DDR1'!D52)),3*10^-3)</f>
        <v>7.0181500087069561E-4</v>
      </c>
      <c r="E156" s="70" t="s">
        <v>197</v>
      </c>
      <c r="F156" s="11" t="s">
        <v>187</v>
      </c>
      <c r="H156" s="8" t="s">
        <v>195</v>
      </c>
      <c r="I156" s="108" t="s">
        <v>196</v>
      </c>
      <c r="J156" s="109">
        <f>MIN(J155*1000/(2*('PC-S1_DDR1'!D27*'PC-S1_DDR1'!D51)),3*10^-3)</f>
        <v>9.0731151452153698E-4</v>
      </c>
      <c r="K156" s="70" t="s">
        <v>197</v>
      </c>
      <c r="L156" s="11" t="s">
        <v>187</v>
      </c>
    </row>
    <row r="157" spans="2:12" ht="15.6">
      <c r="B157" s="8" t="s">
        <v>198</v>
      </c>
      <c r="C157" s="108" t="s">
        <v>196</v>
      </c>
      <c r="D157" s="109">
        <f>IF(D156&lt;0,MAX(D155*1000/(2*('PC-S1_DDR1'!D27*D152+J169*D153)),-0.2*10^-3),D156)</f>
        <v>7.0181500087069561E-4</v>
      </c>
      <c r="E157" s="70" t="s">
        <v>197</v>
      </c>
      <c r="F157" s="11" t="s">
        <v>187</v>
      </c>
      <c r="H157" s="8" t="s">
        <v>198</v>
      </c>
      <c r="I157" s="108" t="s">
        <v>196</v>
      </c>
      <c r="J157" s="109">
        <f>IF(J156&lt;0,MAX(J155*1000/(2*('PC-S1_DDR1'!D27*J152+D169*J153)),-0.2*10^-3),J156)</f>
        <v>9.0731151452153698E-4</v>
      </c>
      <c r="K157" s="70" t="s">
        <v>197</v>
      </c>
      <c r="L157" s="11" t="s">
        <v>187</v>
      </c>
    </row>
    <row r="158" spans="2:12" ht="15.6">
      <c r="B158" s="8" t="s">
        <v>199</v>
      </c>
      <c r="C158" s="108" t="s">
        <v>139</v>
      </c>
      <c r="D158" s="110">
        <f>IF(D125="Pass",(0.4/(1+1500*D157)),(0.4/(1+1500*D157))*(1300/(1000+D150*D122)))</f>
        <v>0.19486316330897149</v>
      </c>
      <c r="E158" s="70"/>
      <c r="F158" s="11" t="str">
        <f>F149</f>
        <v>[cl.8.2.4.2]</v>
      </c>
      <c r="H158" s="8" t="s">
        <v>199</v>
      </c>
      <c r="I158" s="108" t="s">
        <v>139</v>
      </c>
      <c r="J158" s="110">
        <f>IF(J125="Pass",(0.4/(1+1500*J157)),(0.4/(1+1500*J157))*(1300/(1000+J150*J122)))</f>
        <v>0.16942208593092359</v>
      </c>
      <c r="K158" s="70"/>
      <c r="L158" s="11" t="str">
        <f>L149</f>
        <v>[cl.8.2.4.2]</v>
      </c>
    </row>
    <row r="159" spans="2:12" ht="16.2" thickBot="1">
      <c r="B159" s="38" t="s">
        <v>200</v>
      </c>
      <c r="C159" s="111" t="s">
        <v>201</v>
      </c>
      <c r="D159" s="112">
        <f>(29+7000*D157)</f>
        <v>33.912705006094868</v>
      </c>
      <c r="E159" s="113" t="s">
        <v>202</v>
      </c>
      <c r="F159" s="43" t="str">
        <f>F158</f>
        <v>[cl.8.2.4.2]</v>
      </c>
      <c r="H159" s="38" t="s">
        <v>200</v>
      </c>
      <c r="I159" s="111" t="s">
        <v>201</v>
      </c>
      <c r="J159" s="112">
        <f>(29+7000*J157)</f>
        <v>35.351180601650761</v>
      </c>
      <c r="K159" s="113" t="s">
        <v>202</v>
      </c>
      <c r="L159" s="43" t="str">
        <f>L158</f>
        <v>[cl.8.2.4.2]</v>
      </c>
    </row>
    <row r="160" spans="2:12" ht="15" thickBot="1"/>
    <row r="161" spans="2:12" ht="18.600000000000001" thickBot="1">
      <c r="B161" s="176" t="s">
        <v>164</v>
      </c>
      <c r="C161" s="177"/>
    </row>
    <row r="162" spans="2:12" ht="15" thickBot="1"/>
    <row r="163" spans="2:12" ht="15.6">
      <c r="B163" s="37" t="s">
        <v>99</v>
      </c>
      <c r="C163" s="6"/>
      <c r="D163" s="6"/>
      <c r="E163" s="6"/>
      <c r="F163" s="7"/>
    </row>
    <row r="164" spans="2:12">
      <c r="B164" s="44" t="s">
        <v>100</v>
      </c>
      <c r="F164" s="13"/>
    </row>
    <row r="165" spans="2:12">
      <c r="B165" s="44" t="s">
        <v>109</v>
      </c>
      <c r="F165" s="13"/>
    </row>
    <row r="166" spans="2:12" ht="15" thickBot="1">
      <c r="B166" s="122" t="s">
        <v>315</v>
      </c>
      <c r="C166" s="46"/>
      <c r="D166" s="46"/>
      <c r="E166" s="46"/>
      <c r="F166" s="47"/>
    </row>
    <row r="167" spans="2:12" ht="15" thickBot="1"/>
    <row r="168" spans="2:12" ht="15.6">
      <c r="B168" s="37" t="s">
        <v>172</v>
      </c>
      <c r="C168" s="21"/>
      <c r="D168" s="21"/>
      <c r="E168" s="21"/>
      <c r="F168" s="22"/>
      <c r="H168" s="37" t="s">
        <v>173</v>
      </c>
      <c r="I168" s="21"/>
      <c r="J168" s="21"/>
      <c r="K168" s="21"/>
      <c r="L168" s="22"/>
    </row>
    <row r="169" spans="2:12" ht="15.6">
      <c r="B169" s="80" t="s">
        <v>146</v>
      </c>
      <c r="C169" s="5" t="s">
        <v>147</v>
      </c>
      <c r="D169" s="73">
        <f>(('PC-S1_DDR1'!$D$10*100)^1.5)*0.043*SQRT('PC-S1_DDR1'!D23)</f>
        <v>38006.989488776897</v>
      </c>
      <c r="E169" s="10"/>
      <c r="F169" s="11"/>
      <c r="H169" s="80" t="s">
        <v>146</v>
      </c>
      <c r="I169" s="5" t="s">
        <v>147</v>
      </c>
      <c r="J169" s="73">
        <f>(('PC-S1_DDR1'!$D$10*100)^1.5)*0.043*SQRT('PC-S1_DDR1'!D23)</f>
        <v>38006.989488776897</v>
      </c>
      <c r="K169" s="10"/>
      <c r="L169" s="11"/>
    </row>
    <row r="170" spans="2:12" ht="15.6">
      <c r="B170" s="8" t="s">
        <v>148</v>
      </c>
      <c r="C170" s="5" t="s">
        <v>149</v>
      </c>
      <c r="D170" s="42">
        <f>0.6*'PC-S1_DDR1'!D23</f>
        <v>30</v>
      </c>
      <c r="E170" s="10" t="s">
        <v>25</v>
      </c>
      <c r="F170" s="11" t="s">
        <v>150</v>
      </c>
      <c r="G170" t="s">
        <v>336</v>
      </c>
      <c r="H170" s="8" t="s">
        <v>148</v>
      </c>
      <c r="I170" s="5" t="s">
        <v>149</v>
      </c>
      <c r="J170" s="42">
        <f>0.6*'PC-S1_DDR1'!D23</f>
        <v>30</v>
      </c>
      <c r="K170" s="10" t="s">
        <v>25</v>
      </c>
      <c r="L170" s="11" t="s">
        <v>150</v>
      </c>
    </row>
    <row r="171" spans="2:12" ht="15.6">
      <c r="B171" s="8" t="s">
        <v>151</v>
      </c>
      <c r="C171" s="5" t="s">
        <v>152</v>
      </c>
      <c r="D171" s="42">
        <f>J22</f>
        <v>150</v>
      </c>
      <c r="E171" s="10" t="s">
        <v>25</v>
      </c>
      <c r="F171" s="11"/>
      <c r="H171" s="8" t="s">
        <v>151</v>
      </c>
      <c r="I171" s="5" t="s">
        <v>152</v>
      </c>
      <c r="J171" s="42">
        <f>J23</f>
        <v>150</v>
      </c>
      <c r="K171" s="10" t="s">
        <v>25</v>
      </c>
      <c r="L171" s="11"/>
    </row>
    <row r="172" spans="2:12" ht="15.6">
      <c r="B172" s="8" t="s">
        <v>163</v>
      </c>
      <c r="C172" s="5" t="s">
        <v>153</v>
      </c>
      <c r="D172" s="124">
        <f>'PC-S1_DDR1'!D27/D169</f>
        <v>5.2621899995278003</v>
      </c>
      <c r="E172" s="75"/>
      <c r="F172" s="14"/>
      <c r="H172" s="8" t="s">
        <v>163</v>
      </c>
      <c r="I172" s="5" t="s">
        <v>153</v>
      </c>
      <c r="J172" s="124">
        <f>'PC-S1_DDR1'!D27/J169</f>
        <v>5.2621899995278003</v>
      </c>
      <c r="K172" s="75"/>
      <c r="L172" s="14"/>
    </row>
    <row r="173" spans="2:12" ht="15.6">
      <c r="B173" s="8" t="s">
        <v>162</v>
      </c>
      <c r="C173" s="5" t="s">
        <v>154</v>
      </c>
      <c r="D173" s="123">
        <f>'PC-S1_DDR1'!D52/('PC-S1_DDR1'!D8*'PC-S1_DDR1'!D9)</f>
        <v>1.2444444444444444E-2</v>
      </c>
      <c r="E173" s="76"/>
      <c r="F173" s="14"/>
      <c r="H173" s="8" t="s">
        <v>162</v>
      </c>
      <c r="I173" s="5" t="s">
        <v>154</v>
      </c>
      <c r="J173" s="123">
        <f>'PC-S1_DDR1'!D51/('PC-S1_DDR1'!D8*'PC-S1_DDR1'!D9)</f>
        <v>9.6444444444444451E-3</v>
      </c>
      <c r="K173" s="76"/>
      <c r="L173" s="14"/>
    </row>
    <row r="174" spans="2:12" ht="15.6">
      <c r="B174" s="8" t="s">
        <v>161</v>
      </c>
      <c r="C174" s="5" t="s">
        <v>155</v>
      </c>
      <c r="D174" s="124">
        <f>SQRT((D172*D173)^2+2*D173*D172)-D172*D173</f>
        <v>0.30228983414431326</v>
      </c>
      <c r="E174" s="75"/>
      <c r="F174" s="14"/>
      <c r="H174" s="8" t="s">
        <v>161</v>
      </c>
      <c r="I174" s="5" t="s">
        <v>155</v>
      </c>
      <c r="J174" s="124">
        <f>SQRT((J173*J172)^2+J173*J172*2)-J172*J173</f>
        <v>0.27185947266291655</v>
      </c>
      <c r="K174" s="75"/>
      <c r="L174" s="14"/>
    </row>
    <row r="175" spans="2:12" ht="15.6">
      <c r="B175" s="8"/>
      <c r="C175" s="5" t="s">
        <v>156</v>
      </c>
      <c r="D175" s="124">
        <f>1-D174/3</f>
        <v>0.89923672195189552</v>
      </c>
      <c r="F175" s="14"/>
      <c r="H175" s="8"/>
      <c r="I175" s="5" t="s">
        <v>156</v>
      </c>
      <c r="J175" s="124">
        <f>1-J174/3</f>
        <v>0.90938017577902786</v>
      </c>
      <c r="L175" s="14"/>
    </row>
    <row r="176" spans="2:12" ht="15.6">
      <c r="B176" s="8"/>
      <c r="C176" s="5" t="s">
        <v>157</v>
      </c>
      <c r="D176" s="77">
        <f>2*'PC-S1_DDR1'!$D$38/(D175*('PC-S1_DDR1'!$D$50^2)*'PC-S1_DDR1'!$D$9*D174)*1000000</f>
        <v>11.092496858804743</v>
      </c>
      <c r="F176" s="14"/>
      <c r="H176" s="8"/>
      <c r="I176" s="5" t="s">
        <v>157</v>
      </c>
      <c r="J176" s="77">
        <f>2*'PC-S1_DDR1'!$D$38/(J175*('PC-S1_DDR1'!$D$50^2)*'PC-S1_DDR1'!$D$9*J174)*1000000</f>
        <v>12.196548240821899</v>
      </c>
      <c r="L176" s="14"/>
    </row>
    <row r="177" spans="2:12" ht="15.6">
      <c r="B177" s="8" t="s">
        <v>158</v>
      </c>
      <c r="C177" s="5" t="s">
        <v>52</v>
      </c>
      <c r="D177" s="78" t="str">
        <f>IF($D$170&gt;D176,"Pass","Fail")</f>
        <v>Pass</v>
      </c>
      <c r="F177" s="14"/>
      <c r="H177" s="8" t="s">
        <v>158</v>
      </c>
      <c r="I177" s="5" t="s">
        <v>52</v>
      </c>
      <c r="J177" s="78" t="str">
        <f>IF($J$170&gt;J176,"Pass","Fail")</f>
        <v>Pass</v>
      </c>
      <c r="L177" s="14"/>
    </row>
    <row r="178" spans="2:12" ht="15.6">
      <c r="B178" s="8"/>
      <c r="C178" s="5" t="s">
        <v>159</v>
      </c>
      <c r="D178" s="77">
        <f>'PC-S1_DDR1'!$D$39/('PC-S1_DDR1'!$D$52*D175*'PC-S1_DDR1'!$J$53)*1000000 + -1*D35*1000*0.5/D52</f>
        <v>135.99391928404924</v>
      </c>
      <c r="F178" s="14"/>
      <c r="H178" s="8"/>
      <c r="I178" s="5" t="s">
        <v>159</v>
      </c>
      <c r="J178" s="77">
        <f>'PC-S1_DDR1'!$D$38/('PC-S1_DDR1'!$D$51*J175*'PC-S1_DDR1'!$D$50)*1000000 + -1*D35*1000*0.5/D51</f>
        <v>102.19933714694362</v>
      </c>
      <c r="L178" s="14"/>
    </row>
    <row r="179" spans="2:12" ht="16.2" thickBot="1">
      <c r="B179" s="38" t="s">
        <v>160</v>
      </c>
      <c r="C179" s="39" t="s">
        <v>52</v>
      </c>
      <c r="D179" s="79" t="str">
        <f>IF($D$171&gt;D178,"Pass","Fail")</f>
        <v>Pass</v>
      </c>
      <c r="E179" s="46"/>
      <c r="F179" s="41"/>
      <c r="H179" s="38" t="s">
        <v>160</v>
      </c>
      <c r="I179" s="39" t="s">
        <v>52</v>
      </c>
      <c r="J179" s="79" t="str">
        <f>IF($J$171&gt;J178,"Pass","Fail")</f>
        <v>Pass</v>
      </c>
      <c r="K179" s="46"/>
      <c r="L179" s="41"/>
    </row>
  </sheetData>
  <mergeCells count="7">
    <mergeCell ref="B161:C161"/>
    <mergeCell ref="B1:F1"/>
    <mergeCell ref="B5:C5"/>
    <mergeCell ref="B140:F140"/>
    <mergeCell ref="H140:L140"/>
    <mergeCell ref="D149:E149"/>
    <mergeCell ref="J149:K149"/>
  </mergeCells>
  <conditionalFormatting sqref="L8:L19">
    <cfRule type="cellIs" dxfId="3" priority="1" operator="equal">
      <formula>"Fail"</formula>
    </cfRule>
  </conditionalFormatting>
  <dataValidations count="1">
    <dataValidation type="list" allowBlank="1" showInputMessage="1" showErrorMessage="1" sqref="F5" xr:uid="{1636837C-CC7A-4EC1-B273-8BB2085C28D7}">
      <formula1>$R$7:$S$7</formula1>
    </dataValidation>
  </dataValidations>
  <pageMargins left="0.7" right="0.7" top="0.75" bottom="0.75" header="0.3" footer="0.3"/>
  <pageSetup paperSize="9" scale="35" fitToHeight="0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CD46A-CECE-41F7-86D2-8B08D35FABB1}">
  <sheetPr codeName="Sheet11">
    <tabColor theme="4" tint="0.39997558519241921"/>
    <pageSetUpPr fitToPage="1"/>
  </sheetPr>
  <dimension ref="B1:V179"/>
  <sheetViews>
    <sheetView zoomScale="70" zoomScaleNormal="70" workbookViewId="0">
      <selection activeCell="F5" sqref="F5"/>
    </sheetView>
  </sheetViews>
  <sheetFormatPr defaultRowHeight="14.4"/>
  <cols>
    <col min="2" max="2" width="40" customWidth="1"/>
    <col min="3" max="3" width="16.88671875" customWidth="1"/>
    <col min="4" max="4" width="12.33203125" bestFit="1" customWidth="1"/>
    <col min="5" max="5" width="11.88671875" customWidth="1"/>
    <col min="6" max="6" width="30.109375" customWidth="1"/>
    <col min="7" max="7" width="13.33203125" customWidth="1"/>
    <col min="8" max="8" width="43.44140625" customWidth="1"/>
    <col min="9" max="9" width="15.33203125" customWidth="1"/>
    <col min="10" max="10" width="13.33203125" bestFit="1" customWidth="1"/>
    <col min="11" max="11" width="10" bestFit="1" customWidth="1"/>
    <col min="12" max="12" width="28" customWidth="1"/>
  </cols>
  <sheetData>
    <row r="1" spans="2:20" ht="20.399999999999999" thickBot="1">
      <c r="B1" s="175" t="s">
        <v>326</v>
      </c>
      <c r="C1" s="175"/>
      <c r="D1" s="175"/>
      <c r="E1" s="175"/>
      <c r="F1" s="175"/>
    </row>
    <row r="2" spans="2:20" ht="15" thickTop="1"/>
    <row r="3" spans="2:20">
      <c r="B3" s="120" t="s">
        <v>229</v>
      </c>
      <c r="C3" t="s">
        <v>327</v>
      </c>
      <c r="D3" s="120" t="s">
        <v>230</v>
      </c>
      <c r="E3" s="119">
        <f ca="1">TODAY()</f>
        <v>46037</v>
      </c>
      <c r="F3" s="120" t="s">
        <v>231</v>
      </c>
      <c r="G3" s="119">
        <v>45460</v>
      </c>
    </row>
    <row r="4" spans="2:20" ht="15" thickBot="1"/>
    <row r="5" spans="2:20" ht="18.600000000000001" thickBot="1">
      <c r="B5" s="176" t="s">
        <v>0</v>
      </c>
      <c r="C5" s="177"/>
      <c r="D5" s="3"/>
      <c r="E5" s="4"/>
      <c r="F5" s="158" t="s">
        <v>330</v>
      </c>
      <c r="H5" s="87" t="s">
        <v>165</v>
      </c>
      <c r="I5" s="4"/>
      <c r="J5" s="4"/>
      <c r="K5" s="82"/>
    </row>
    <row r="6" spans="2:20" ht="16.2" thickBot="1">
      <c r="B6" s="5"/>
      <c r="C6" s="5"/>
    </row>
    <row r="7" spans="2:20" ht="15.6">
      <c r="B7" s="86" t="s">
        <v>174</v>
      </c>
      <c r="C7" s="6"/>
      <c r="D7" s="6"/>
      <c r="E7" s="6"/>
      <c r="F7" s="7"/>
      <c r="H7" s="147" t="s">
        <v>307</v>
      </c>
      <c r="I7" s="88" t="s">
        <v>39</v>
      </c>
      <c r="J7" s="89">
        <f>D33</f>
        <v>1590</v>
      </c>
      <c r="K7" s="90" t="s">
        <v>40</v>
      </c>
      <c r="L7" s="148"/>
      <c r="R7" t="s">
        <v>331</v>
      </c>
      <c r="S7" t="s">
        <v>330</v>
      </c>
    </row>
    <row r="8" spans="2:20" ht="15.6">
      <c r="B8" s="8" t="s">
        <v>175</v>
      </c>
      <c r="C8" s="5" t="s">
        <v>97</v>
      </c>
      <c r="D8" s="158">
        <f>IF(F$5="End Stage",S8,R8)</f>
        <v>800</v>
      </c>
      <c r="E8" s="10" t="s">
        <v>2</v>
      </c>
      <c r="F8" s="11"/>
      <c r="H8" s="91"/>
      <c r="I8" s="92" t="s">
        <v>70</v>
      </c>
      <c r="J8" s="93">
        <f>J59</f>
        <v>3783.8408478571655</v>
      </c>
      <c r="K8" s="94" t="s">
        <v>40</v>
      </c>
      <c r="L8" s="170" t="str">
        <f>J60</f>
        <v>Pass</v>
      </c>
      <c r="R8" s="161">
        <v>600</v>
      </c>
      <c r="S8" s="161">
        <v>800</v>
      </c>
      <c r="T8" s="161"/>
    </row>
    <row r="9" spans="2:20" ht="15.6">
      <c r="B9" s="8" t="s">
        <v>176</v>
      </c>
      <c r="C9" s="5" t="s">
        <v>3</v>
      </c>
      <c r="D9" s="166">
        <v>1500</v>
      </c>
      <c r="E9" s="10" t="s">
        <v>2</v>
      </c>
      <c r="F9" s="11"/>
      <c r="H9" s="91"/>
      <c r="I9" s="96" t="s">
        <v>166</v>
      </c>
      <c r="J9" s="93">
        <f>D56</f>
        <v>2402.4686066046906</v>
      </c>
      <c r="K9" s="94" t="s">
        <v>167</v>
      </c>
      <c r="L9" s="170" t="str">
        <f>D57</f>
        <v>Pass</v>
      </c>
      <c r="R9" s="161"/>
      <c r="S9" s="161"/>
      <c r="T9" s="161"/>
    </row>
    <row r="10" spans="2:20" ht="18">
      <c r="B10" s="8" t="s">
        <v>4</v>
      </c>
      <c r="C10" s="81" t="s">
        <v>124</v>
      </c>
      <c r="D10" s="9">
        <v>25</v>
      </c>
      <c r="E10" s="10" t="s">
        <v>5</v>
      </c>
      <c r="F10" s="11"/>
      <c r="H10" s="91"/>
      <c r="I10" s="97"/>
      <c r="J10" s="98"/>
      <c r="K10" s="97"/>
      <c r="L10" s="170"/>
      <c r="R10" s="161"/>
      <c r="S10" s="161"/>
      <c r="T10" s="161"/>
    </row>
    <row r="11" spans="2:20" ht="15.6">
      <c r="B11" s="8" t="s">
        <v>134</v>
      </c>
      <c r="C11" s="5" t="s">
        <v>1</v>
      </c>
      <c r="D11" s="70">
        <f>D8-((H34*I34)+(H35*I35)+(H36*I36)+(H37*I37)+(H38*I38))/(SUM(H34:H38))</f>
        <v>678.125</v>
      </c>
      <c r="E11" s="10" t="s">
        <v>2</v>
      </c>
      <c r="F11" s="121" t="s">
        <v>232</v>
      </c>
      <c r="H11" s="91" t="s">
        <v>168</v>
      </c>
      <c r="I11" s="96" t="s">
        <v>171</v>
      </c>
      <c r="J11" s="93">
        <f>'PC-B4-7_DDR1 (2)'!J120</f>
        <v>985.37614869736865</v>
      </c>
      <c r="K11" s="94" t="s">
        <v>46</v>
      </c>
      <c r="L11" s="170"/>
      <c r="R11" s="161"/>
      <c r="S11" s="161"/>
      <c r="T11" s="161"/>
    </row>
    <row r="12" spans="2:20" ht="15.6">
      <c r="B12" s="84" t="s">
        <v>6</v>
      </c>
      <c r="D12" s="12"/>
      <c r="F12" s="13"/>
      <c r="H12" s="91"/>
      <c r="I12" s="92" t="s">
        <v>169</v>
      </c>
      <c r="J12" s="93">
        <f>'PC-B4-7_DDR1 (2)'!D132</f>
        <v>2328.3698295233335</v>
      </c>
      <c r="K12" s="94" t="s">
        <v>46</v>
      </c>
      <c r="L12" s="170" t="str">
        <f>'PC-B4-7_DDR1 (2)'!D133</f>
        <v>Pass</v>
      </c>
      <c r="R12" s="161"/>
      <c r="S12" s="161"/>
      <c r="T12" s="161"/>
    </row>
    <row r="13" spans="2:20" ht="15.6">
      <c r="B13" s="8" t="s">
        <v>7</v>
      </c>
      <c r="C13" s="5" t="s">
        <v>8</v>
      </c>
      <c r="D13" s="158">
        <f>IF(F$5="End Stage",S13,R13)</f>
        <v>50</v>
      </c>
      <c r="E13" s="10" t="s">
        <v>2</v>
      </c>
      <c r="F13" s="11" t="s">
        <v>9</v>
      </c>
      <c r="H13" s="91"/>
      <c r="I13" s="92" t="s">
        <v>170</v>
      </c>
      <c r="J13" s="93">
        <f>'PC-B4-7_DDR1 (2)'!J132</f>
        <v>2328.1835325432071</v>
      </c>
      <c r="K13" s="94" t="s">
        <v>46</v>
      </c>
      <c r="L13" s="170" t="str">
        <f>'PC-B4-7_DDR1 (2)'!J133</f>
        <v>Pass</v>
      </c>
      <c r="R13" s="161">
        <v>30</v>
      </c>
      <c r="S13" s="161">
        <v>50</v>
      </c>
      <c r="T13" s="161"/>
    </row>
    <row r="14" spans="2:20" ht="15.6">
      <c r="B14" s="8" t="s">
        <v>10</v>
      </c>
      <c r="C14" s="5" t="s">
        <v>8</v>
      </c>
      <c r="D14" s="9">
        <v>65</v>
      </c>
      <c r="E14" s="10" t="s">
        <v>2</v>
      </c>
      <c r="F14" s="11" t="s">
        <v>9</v>
      </c>
      <c r="H14" s="91"/>
      <c r="I14" s="97"/>
      <c r="J14" s="99"/>
      <c r="K14" s="97"/>
      <c r="L14" s="170"/>
      <c r="R14" s="161"/>
      <c r="S14" s="161"/>
      <c r="T14" s="161"/>
    </row>
    <row r="15" spans="2:20" ht="15.6">
      <c r="B15" s="8" t="s">
        <v>11</v>
      </c>
      <c r="C15" s="5" t="s">
        <v>12</v>
      </c>
      <c r="D15" s="158">
        <f>IF(F$5="End Stage",S15,R15)</f>
        <v>36</v>
      </c>
      <c r="E15" s="10" t="s">
        <v>2</v>
      </c>
      <c r="F15" s="11"/>
      <c r="H15" s="91" t="s">
        <v>177</v>
      </c>
      <c r="I15" s="96" t="s">
        <v>157</v>
      </c>
      <c r="J15" s="99">
        <f>'PC-B4-7_DDR1 (2)'!D176</f>
        <v>11.000219156844356</v>
      </c>
      <c r="K15" s="94" t="s">
        <v>25</v>
      </c>
      <c r="L15" s="171" t="str">
        <f>'PC-B4-7_DDR1 (2)'!D177</f>
        <v>Pass</v>
      </c>
      <c r="R15" s="164">
        <v>16</v>
      </c>
      <c r="S15" s="164">
        <v>36</v>
      </c>
      <c r="T15" s="161"/>
    </row>
    <row r="16" spans="2:20" ht="15.6">
      <c r="B16" s="8" t="s">
        <v>13</v>
      </c>
      <c r="C16" s="5" t="s">
        <v>14</v>
      </c>
      <c r="D16" s="9">
        <v>36</v>
      </c>
      <c r="E16" s="10" t="s">
        <v>2</v>
      </c>
      <c r="F16" s="11"/>
      <c r="H16" s="91"/>
      <c r="I16" s="96" t="s">
        <v>159</v>
      </c>
      <c r="J16" s="99">
        <f>'PC-B4-7_DDR1 (2)'!D178</f>
        <v>142.27383432409115</v>
      </c>
      <c r="K16" s="94" t="s">
        <v>25</v>
      </c>
      <c r="L16" s="171" t="str">
        <f>'PC-B4-7_DDR1 (2)'!D179</f>
        <v>Pass</v>
      </c>
      <c r="R16" s="161"/>
      <c r="S16" s="161"/>
      <c r="T16" s="161"/>
    </row>
    <row r="17" spans="2:20" ht="15.6">
      <c r="B17" s="84" t="s">
        <v>15</v>
      </c>
      <c r="D17" s="12"/>
      <c r="F17" s="13"/>
      <c r="H17" s="91"/>
      <c r="I17" s="97"/>
      <c r="J17" s="99"/>
      <c r="K17" s="97"/>
      <c r="L17" s="170"/>
      <c r="R17" s="161"/>
      <c r="S17" s="161"/>
      <c r="T17" s="161"/>
    </row>
    <row r="18" spans="2:20" ht="15.6">
      <c r="B18" s="8" t="s">
        <v>16</v>
      </c>
      <c r="C18" s="5" t="s">
        <v>17</v>
      </c>
      <c r="D18" s="9">
        <v>16</v>
      </c>
      <c r="E18" s="10" t="s">
        <v>2</v>
      </c>
      <c r="F18" s="14"/>
      <c r="H18" s="91" t="s">
        <v>178</v>
      </c>
      <c r="I18" s="96" t="s">
        <v>157</v>
      </c>
      <c r="J18" s="99">
        <f>'PC-B4-7_DDR1 (2)'!J176</f>
        <v>11.000219156844356</v>
      </c>
      <c r="K18" s="94" t="s">
        <v>25</v>
      </c>
      <c r="L18" s="171" t="str">
        <f>'PC-B4-7_DDR1 (2)'!J177</f>
        <v>Pass</v>
      </c>
      <c r="R18" s="161"/>
      <c r="S18" s="161"/>
      <c r="T18" s="161"/>
    </row>
    <row r="19" spans="2:20" ht="16.2" thickBot="1">
      <c r="B19" s="8" t="s">
        <v>18</v>
      </c>
      <c r="C19" s="5" t="s">
        <v>19</v>
      </c>
      <c r="D19" s="9">
        <v>200</v>
      </c>
      <c r="E19" s="10" t="s">
        <v>2</v>
      </c>
      <c r="F19" s="14"/>
      <c r="H19" s="101"/>
      <c r="I19" s="102" t="s">
        <v>159</v>
      </c>
      <c r="J19" s="103">
        <f>'PC-B4-7_DDR1 (2)'!J178</f>
        <v>121.40058522994389</v>
      </c>
      <c r="K19" s="104" t="s">
        <v>25</v>
      </c>
      <c r="L19" s="172" t="str">
        <f>'PC-B4-7_DDR1 (2)'!J179</f>
        <v>Pass</v>
      </c>
      <c r="R19" s="161"/>
      <c r="S19" s="161"/>
      <c r="T19" s="161"/>
    </row>
    <row r="20" spans="2:20" ht="16.2" thickBot="1">
      <c r="B20" s="8" t="s">
        <v>20</v>
      </c>
      <c r="C20" s="5"/>
      <c r="D20" s="9">
        <f>IF(F$5="End Stage",S20,R20)</f>
        <v>4</v>
      </c>
      <c r="F20" s="14"/>
      <c r="R20" s="161">
        <v>6</v>
      </c>
      <c r="S20" s="161">
        <v>4</v>
      </c>
      <c r="T20" s="161"/>
    </row>
    <row r="21" spans="2:20" ht="15.6">
      <c r="B21" s="8" t="s">
        <v>123</v>
      </c>
      <c r="C21" s="5" t="s">
        <v>17</v>
      </c>
      <c r="D21" s="9">
        <v>16</v>
      </c>
      <c r="E21" s="10" t="s">
        <v>2</v>
      </c>
      <c r="F21" s="11"/>
      <c r="H21" s="163" t="s">
        <v>335</v>
      </c>
      <c r="I21" s="6"/>
      <c r="J21" s="6"/>
      <c r="K21" s="6"/>
      <c r="L21" s="7"/>
      <c r="R21" s="161"/>
      <c r="S21" s="161"/>
      <c r="T21" s="161"/>
    </row>
    <row r="22" spans="2:20" ht="15.6">
      <c r="B22" s="84" t="s">
        <v>22</v>
      </c>
      <c r="C22" s="15"/>
      <c r="D22" s="16"/>
      <c r="F22" s="11"/>
      <c r="H22" s="52" t="s">
        <v>332</v>
      </c>
      <c r="I22" s="5" t="s">
        <v>152</v>
      </c>
      <c r="J22" s="158">
        <f>IF(F$5="End Stage",S22,R22)</f>
        <v>150</v>
      </c>
      <c r="K22" s="10" t="s">
        <v>25</v>
      </c>
      <c r="L22" s="13" t="s">
        <v>333</v>
      </c>
      <c r="R22" s="161">
        <v>155</v>
      </c>
      <c r="S22" s="161">
        <v>150</v>
      </c>
      <c r="T22" s="161"/>
    </row>
    <row r="23" spans="2:20" ht="16.2" thickBot="1">
      <c r="B23" s="8" t="s">
        <v>23</v>
      </c>
      <c r="C23" s="5" t="s">
        <v>24</v>
      </c>
      <c r="D23" s="9">
        <v>50</v>
      </c>
      <c r="E23" s="10" t="s">
        <v>25</v>
      </c>
      <c r="F23" s="11"/>
      <c r="H23" s="162" t="s">
        <v>332</v>
      </c>
      <c r="I23" s="39" t="s">
        <v>152</v>
      </c>
      <c r="J23" s="83">
        <v>150</v>
      </c>
      <c r="K23" s="40" t="s">
        <v>25</v>
      </c>
      <c r="L23" s="47" t="s">
        <v>334</v>
      </c>
      <c r="R23" s="161"/>
      <c r="S23" s="161"/>
      <c r="T23" s="161"/>
    </row>
    <row r="24" spans="2:20" ht="16.2" thickBot="1">
      <c r="B24" s="8" t="s">
        <v>26</v>
      </c>
      <c r="C24" s="5" t="s">
        <v>27</v>
      </c>
      <c r="D24" s="9">
        <v>500</v>
      </c>
      <c r="E24" s="10" t="s">
        <v>25</v>
      </c>
      <c r="F24" s="11" t="s">
        <v>28</v>
      </c>
      <c r="O24" t="s">
        <v>328</v>
      </c>
      <c r="P24" s="9">
        <v>150</v>
      </c>
      <c r="R24" s="161"/>
      <c r="S24" s="161"/>
      <c r="T24" s="161"/>
    </row>
    <row r="25" spans="2:20" ht="16.2" thickBot="1">
      <c r="B25" s="8" t="s">
        <v>29</v>
      </c>
      <c r="C25" s="5" t="s">
        <v>27</v>
      </c>
      <c r="D25" s="9">
        <v>500</v>
      </c>
      <c r="E25" s="10" t="s">
        <v>25</v>
      </c>
      <c r="F25" s="11" t="s">
        <v>28</v>
      </c>
      <c r="H25" s="20" t="s">
        <v>325</v>
      </c>
      <c r="I25" s="21"/>
      <c r="J25" s="22"/>
      <c r="O25" t="s">
        <v>329</v>
      </c>
      <c r="P25">
        <f>ROUNDDOWN(1+(D9-2*D14)/P24,0)</f>
        <v>10</v>
      </c>
      <c r="Q25">
        <f>1+(D9-2*D14)/P24</f>
        <v>10.133333333333333</v>
      </c>
      <c r="R25" s="161"/>
      <c r="S25" s="161"/>
      <c r="T25" s="161"/>
    </row>
    <row r="26" spans="2:20" ht="16.2" thickTop="1">
      <c r="B26" s="8" t="s">
        <v>102</v>
      </c>
      <c r="C26" s="5" t="s">
        <v>103</v>
      </c>
      <c r="D26" s="9">
        <v>500</v>
      </c>
      <c r="E26" s="10" t="s">
        <v>25</v>
      </c>
      <c r="F26" s="11" t="s">
        <v>28</v>
      </c>
      <c r="H26" s="23" t="s">
        <v>53</v>
      </c>
      <c r="I26" s="24" t="s">
        <v>72</v>
      </c>
      <c r="J26" s="25" t="s">
        <v>73</v>
      </c>
      <c r="R26" s="161"/>
      <c r="S26" s="161"/>
      <c r="T26" s="161"/>
    </row>
    <row r="27" spans="2:20" ht="15.6">
      <c r="B27" s="8" t="s">
        <v>30</v>
      </c>
      <c r="C27" s="5" t="s">
        <v>31</v>
      </c>
      <c r="D27" s="17">
        <v>200000</v>
      </c>
      <c r="E27" s="10" t="s">
        <v>25</v>
      </c>
      <c r="F27" s="11" t="s">
        <v>32</v>
      </c>
      <c r="H27" s="165">
        <f>IF(F$5="End Stage",S27,R27)</f>
        <v>10</v>
      </c>
      <c r="I27" s="27">
        <f>IF(H27=0,0,D13+0.5*D15+D18)</f>
        <v>84</v>
      </c>
      <c r="J27" s="28">
        <f>H27*I27</f>
        <v>840</v>
      </c>
      <c r="R27" s="169">
        <v>5</v>
      </c>
      <c r="S27" s="161">
        <v>10</v>
      </c>
      <c r="T27" s="161"/>
    </row>
    <row r="28" spans="2:20" ht="15.6">
      <c r="B28" s="8" t="s">
        <v>226</v>
      </c>
      <c r="C28" s="5" t="s">
        <v>227</v>
      </c>
      <c r="D28" s="9">
        <v>16</v>
      </c>
      <c r="E28" s="10" t="s">
        <v>2</v>
      </c>
      <c r="F28" s="11" t="s">
        <v>184</v>
      </c>
      <c r="H28" s="167">
        <f>IF(F$5="End Stage",S28,R28)</f>
        <v>6</v>
      </c>
      <c r="I28" s="30">
        <f>IF(H28=0,0,I27+25+D15)</f>
        <v>145</v>
      </c>
      <c r="J28" s="31">
        <f>H28*I28</f>
        <v>870</v>
      </c>
      <c r="K28" s="151"/>
      <c r="R28" s="161">
        <v>0</v>
      </c>
      <c r="S28" s="161">
        <v>6</v>
      </c>
      <c r="T28" s="161"/>
    </row>
    <row r="29" spans="2:20" ht="15.6">
      <c r="B29" s="84" t="s">
        <v>33</v>
      </c>
      <c r="D29" s="12"/>
      <c r="F29" s="13"/>
      <c r="H29" s="29">
        <v>0</v>
      </c>
      <c r="I29" s="30">
        <f>IF(H29=0,0,I28+150)</f>
        <v>0</v>
      </c>
      <c r="J29" s="31">
        <f>H29*I29</f>
        <v>0</v>
      </c>
      <c r="R29" s="161"/>
      <c r="S29" s="161"/>
      <c r="T29" s="161"/>
    </row>
    <row r="30" spans="2:20" ht="15.6">
      <c r="B30" s="8" t="s">
        <v>34</v>
      </c>
      <c r="C30" s="18" t="s">
        <v>35</v>
      </c>
      <c r="D30" s="9">
        <v>0.8</v>
      </c>
      <c r="F30" s="11" t="s">
        <v>36</v>
      </c>
      <c r="H30" s="29">
        <v>0</v>
      </c>
      <c r="I30" s="30">
        <f>IF(H30=0,0,I29+$D$13+0.5*$D$15)</f>
        <v>0</v>
      </c>
      <c r="J30" s="31">
        <f>H30*I30</f>
        <v>0</v>
      </c>
      <c r="R30" s="161"/>
      <c r="S30" s="161"/>
      <c r="T30" s="161"/>
    </row>
    <row r="31" spans="2:20" ht="16.2" thickBot="1">
      <c r="B31" s="8" t="s">
        <v>145</v>
      </c>
      <c r="C31" s="18" t="s">
        <v>35</v>
      </c>
      <c r="D31" s="9">
        <v>0.7</v>
      </c>
      <c r="F31" s="11" t="s">
        <v>36</v>
      </c>
      <c r="H31" s="29">
        <v>0</v>
      </c>
      <c r="I31" s="30">
        <f>IF(H31=0,0,I30+$D$13+0.5*$D$15)</f>
        <v>0</v>
      </c>
      <c r="J31" s="31">
        <f>H31*I31</f>
        <v>0</v>
      </c>
      <c r="R31" s="161"/>
      <c r="S31" s="161"/>
      <c r="T31" s="161"/>
    </row>
    <row r="32" spans="2:20" ht="16.2" thickBot="1">
      <c r="B32" s="84" t="s">
        <v>37</v>
      </c>
      <c r="C32" s="5"/>
      <c r="D32" s="85"/>
      <c r="F32" s="14"/>
      <c r="H32" s="20" t="s">
        <v>324</v>
      </c>
      <c r="I32" s="21"/>
      <c r="J32" s="32"/>
      <c r="R32" s="161"/>
      <c r="S32" s="161"/>
      <c r="T32" s="161"/>
    </row>
    <row r="33" spans="2:22" ht="16.2" thickTop="1">
      <c r="B33" s="8" t="s">
        <v>38</v>
      </c>
      <c r="C33" s="5" t="s">
        <v>39</v>
      </c>
      <c r="D33" s="159">
        <f>IF(F$5="End Stage",S33,R33)</f>
        <v>1590</v>
      </c>
      <c r="E33" s="10" t="s">
        <v>40</v>
      </c>
      <c r="F33" s="11" t="s">
        <v>41</v>
      </c>
      <c r="H33" s="23" t="s">
        <v>53</v>
      </c>
      <c r="I33" s="24" t="s">
        <v>72</v>
      </c>
      <c r="J33" s="25" t="s">
        <v>73</v>
      </c>
      <c r="O33">
        <v>62</v>
      </c>
      <c r="P33">
        <v>91</v>
      </c>
      <c r="R33" s="161">
        <v>91</v>
      </c>
      <c r="S33" s="161">
        <v>1590</v>
      </c>
      <c r="T33" s="161"/>
      <c r="U33">
        <v>1650</v>
      </c>
      <c r="V33">
        <v>850</v>
      </c>
    </row>
    <row r="34" spans="2:22" ht="15.6">
      <c r="B34" s="8" t="s">
        <v>42</v>
      </c>
      <c r="C34" s="5" t="s">
        <v>43</v>
      </c>
      <c r="D34" s="159">
        <f t="shared" ref="D34:D39" si="0">IF(F$5="End Stage",S34,R34)</f>
        <v>1980</v>
      </c>
      <c r="E34" s="10" t="s">
        <v>40</v>
      </c>
      <c r="F34" s="11" t="s">
        <v>41</v>
      </c>
      <c r="H34" s="26">
        <v>10</v>
      </c>
      <c r="I34" s="27">
        <f>IF(H34=0,0,D14+0.5*D16+D18)</f>
        <v>99</v>
      </c>
      <c r="J34" s="28">
        <f>H34*I34</f>
        <v>990</v>
      </c>
      <c r="L34" s="19"/>
      <c r="O34">
        <v>0</v>
      </c>
      <c r="P34">
        <v>0</v>
      </c>
      <c r="R34" s="161">
        <v>0</v>
      </c>
      <c r="S34" s="161">
        <v>1980</v>
      </c>
      <c r="T34" s="161"/>
      <c r="U34">
        <v>2050</v>
      </c>
      <c r="V34">
        <v>1031</v>
      </c>
    </row>
    <row r="35" spans="2:22" ht="15.6">
      <c r="B35" s="173" t="s">
        <v>337</v>
      </c>
      <c r="C35" s="5" t="s">
        <v>225</v>
      </c>
      <c r="D35" s="159">
        <f t="shared" si="0"/>
        <v>-455</v>
      </c>
      <c r="E35" s="10" t="s">
        <v>46</v>
      </c>
      <c r="F35" s="11" t="s">
        <v>41</v>
      </c>
      <c r="H35" s="29">
        <v>6</v>
      </c>
      <c r="I35" s="30">
        <f>IF(H35=0,0,I34+D16+25)</f>
        <v>160</v>
      </c>
      <c r="J35" s="31">
        <f>H35*I35</f>
        <v>960</v>
      </c>
      <c r="O35">
        <v>0</v>
      </c>
      <c r="P35">
        <v>0</v>
      </c>
      <c r="R35" s="161">
        <v>0</v>
      </c>
      <c r="S35" s="161">
        <v>-455</v>
      </c>
      <c r="T35" s="161">
        <v>825</v>
      </c>
      <c r="U35">
        <v>890</v>
      </c>
      <c r="V35">
        <v>750</v>
      </c>
    </row>
    <row r="36" spans="2:22" ht="15.6">
      <c r="B36" s="8" t="s">
        <v>44</v>
      </c>
      <c r="C36" s="5" t="s">
        <v>45</v>
      </c>
      <c r="D36" s="159">
        <f t="shared" si="0"/>
        <v>710</v>
      </c>
      <c r="E36" s="10" t="s">
        <v>46</v>
      </c>
      <c r="F36" s="11" t="s">
        <v>41</v>
      </c>
      <c r="H36" s="29">
        <v>0</v>
      </c>
      <c r="I36" s="30">
        <f>IF(H36=0,0,I35+$D$13+0.5*$D$16)</f>
        <v>0</v>
      </c>
      <c r="J36" s="31">
        <f>H36*I36</f>
        <v>0</v>
      </c>
      <c r="O36">
        <v>66</v>
      </c>
      <c r="P36">
        <v>97</v>
      </c>
      <c r="R36" s="161">
        <v>97</v>
      </c>
      <c r="S36" s="161">
        <v>710</v>
      </c>
      <c r="T36" s="161"/>
      <c r="U36">
        <v>730</v>
      </c>
      <c r="V36">
        <v>410</v>
      </c>
    </row>
    <row r="37" spans="2:22" ht="15.6">
      <c r="B37" s="8" t="s">
        <v>49</v>
      </c>
      <c r="C37" s="5" t="s">
        <v>50</v>
      </c>
      <c r="D37" s="159">
        <f t="shared" si="0"/>
        <v>290</v>
      </c>
      <c r="E37" s="10" t="s">
        <v>40</v>
      </c>
      <c r="F37" s="11" t="s">
        <v>41</v>
      </c>
      <c r="H37" s="29">
        <v>0</v>
      </c>
      <c r="I37" s="30">
        <f>IF(H37=0,0,I36+$D$13+0.5*$D$16)</f>
        <v>0</v>
      </c>
      <c r="J37" s="31">
        <f>H37*I37</f>
        <v>0</v>
      </c>
      <c r="O37">
        <v>0</v>
      </c>
      <c r="P37">
        <v>0</v>
      </c>
      <c r="R37" s="161">
        <v>0</v>
      </c>
      <c r="S37" s="161">
        <v>290</v>
      </c>
      <c r="T37" s="161"/>
      <c r="U37">
        <v>220</v>
      </c>
      <c r="V37">
        <v>75</v>
      </c>
    </row>
    <row r="38" spans="2:22" ht="15.6">
      <c r="B38" s="8" t="s">
        <v>47</v>
      </c>
      <c r="C38" s="5" t="s">
        <v>39</v>
      </c>
      <c r="D38" s="159">
        <f t="shared" si="0"/>
        <v>1065</v>
      </c>
      <c r="E38" s="10" t="s">
        <v>40</v>
      </c>
      <c r="F38" s="11" t="s">
        <v>41</v>
      </c>
      <c r="H38" s="29">
        <v>0</v>
      </c>
      <c r="I38" s="30">
        <f>IF(H38=0,0,I37+$D$13+0.5*$D$16)</f>
        <v>0</v>
      </c>
      <c r="J38" s="31">
        <f>H38*I38</f>
        <v>0</v>
      </c>
      <c r="O38">
        <v>47</v>
      </c>
      <c r="P38">
        <v>70</v>
      </c>
      <c r="R38" s="161">
        <v>70</v>
      </c>
      <c r="S38" s="161">
        <v>1065</v>
      </c>
      <c r="T38" s="161"/>
      <c r="U38">
        <v>1100</v>
      </c>
      <c r="V38">
        <v>550</v>
      </c>
    </row>
    <row r="39" spans="2:22" ht="16.2" thickBot="1">
      <c r="B39" s="38" t="s">
        <v>48</v>
      </c>
      <c r="C39" s="39" t="s">
        <v>43</v>
      </c>
      <c r="D39" s="160">
        <f t="shared" si="0"/>
        <v>1300</v>
      </c>
      <c r="E39" s="40" t="s">
        <v>40</v>
      </c>
      <c r="F39" s="43" t="s">
        <v>41</v>
      </c>
      <c r="H39" s="34" t="s">
        <v>74</v>
      </c>
      <c r="I39" s="35" t="s">
        <v>52</v>
      </c>
      <c r="J39" s="36"/>
      <c r="O39">
        <v>0</v>
      </c>
      <c r="P39">
        <v>0</v>
      </c>
      <c r="R39" s="161">
        <v>0</v>
      </c>
      <c r="S39" s="161">
        <v>1300</v>
      </c>
      <c r="T39" s="161"/>
      <c r="U39">
        <v>1350</v>
      </c>
      <c r="V39">
        <v>690</v>
      </c>
    </row>
    <row r="40" spans="2:22" ht="15" thickBot="1"/>
    <row r="41" spans="2:22" ht="18.600000000000001" thickBot="1">
      <c r="B41" s="1" t="s">
        <v>51</v>
      </c>
      <c r="C41" s="5"/>
      <c r="I41" s="48"/>
      <c r="J41" s="48"/>
    </row>
    <row r="42" spans="2:22" ht="16.2" thickBot="1">
      <c r="B42" s="5"/>
      <c r="C42" s="5"/>
      <c r="L42" s="19"/>
    </row>
    <row r="43" spans="2:22" ht="15.6">
      <c r="B43" s="37" t="s">
        <v>99</v>
      </c>
      <c r="C43" s="6"/>
      <c r="D43" s="6"/>
      <c r="E43" s="6"/>
      <c r="F43" s="7"/>
    </row>
    <row r="44" spans="2:22">
      <c r="B44" s="44" t="s">
        <v>100</v>
      </c>
      <c r="F44" s="13"/>
    </row>
    <row r="45" spans="2:22">
      <c r="B45" s="44" t="s">
        <v>109</v>
      </c>
      <c r="F45" s="13"/>
    </row>
    <row r="46" spans="2:22">
      <c r="B46" s="44"/>
      <c r="F46" s="13"/>
    </row>
    <row r="47" spans="2:22" ht="15" thickBot="1">
      <c r="B47" s="45"/>
      <c r="C47" s="46"/>
      <c r="D47" s="46"/>
      <c r="E47" s="46"/>
      <c r="F47" s="47"/>
    </row>
    <row r="48" spans="2:22" ht="15" thickBot="1"/>
    <row r="49" spans="2:16" ht="15.6">
      <c r="B49" s="67"/>
      <c r="C49" s="68"/>
      <c r="D49" s="21"/>
      <c r="E49" s="21"/>
      <c r="F49" s="22"/>
    </row>
    <row r="50" spans="2:16" ht="15.6">
      <c r="B50" s="8" t="s">
        <v>54</v>
      </c>
      <c r="C50" s="5" t="s">
        <v>1</v>
      </c>
      <c r="D50" s="70">
        <f>D8-((H34*I34)+(H35*I35)+(H36*I36)+(H37*I37)+(H38*I38))/(SUM(H34:H38))</f>
        <v>678.125</v>
      </c>
      <c r="E50" s="10" t="s">
        <v>2</v>
      </c>
      <c r="F50" s="14"/>
      <c r="N50" s="42"/>
    </row>
    <row r="51" spans="2:16" ht="15.6">
      <c r="B51" s="8" t="s">
        <v>295</v>
      </c>
      <c r="C51" s="5" t="s">
        <v>55</v>
      </c>
      <c r="D51" s="71">
        <f>SUM(H34:H38)*ROUND(PI()*D16^2*0.25,-1)</f>
        <v>16320</v>
      </c>
      <c r="E51" s="10" t="s">
        <v>56</v>
      </c>
      <c r="F51" s="14"/>
    </row>
    <row r="52" spans="2:16" ht="16.2" thickBot="1">
      <c r="B52" s="8" t="s">
        <v>296</v>
      </c>
      <c r="C52" s="5" t="s">
        <v>297</v>
      </c>
      <c r="D52" s="71">
        <f>SUM(H27:H31)*ROUND(PI()*D15^2*0.25,-1)</f>
        <v>16320</v>
      </c>
      <c r="E52" s="10" t="s">
        <v>56</v>
      </c>
      <c r="F52" s="13"/>
    </row>
    <row r="53" spans="2:16" ht="15.6">
      <c r="B53" s="8" t="s">
        <v>57</v>
      </c>
      <c r="C53" s="5" t="s">
        <v>58</v>
      </c>
      <c r="D53" s="70">
        <f>IF(0.85-0.0015*($D$23)&lt;0.67,0.67,0.85-0.0015*($D$23))</f>
        <v>0.77500000000000002</v>
      </c>
      <c r="F53" s="11" t="s">
        <v>59</v>
      </c>
      <c r="H53" s="133" t="s">
        <v>308</v>
      </c>
      <c r="I53" s="134" t="s">
        <v>309</v>
      </c>
      <c r="J53" s="135">
        <f>D8-((H27*I27)+(H28*I28)+(H29*I29)+(H30*I30)+(H31*I31))/(SUM(H27:H31))</f>
        <v>693.125</v>
      </c>
      <c r="K53" s="135" t="s">
        <v>2</v>
      </c>
      <c r="L53" s="7"/>
    </row>
    <row r="54" spans="2:16" ht="15.6">
      <c r="B54" s="8" t="s">
        <v>60</v>
      </c>
      <c r="C54" s="18" t="s">
        <v>61</v>
      </c>
      <c r="D54" s="70">
        <f>IF(0.97-0.0025*($D$23)&lt;0.67,0.67,0.97-0.0025*($D$23))</f>
        <v>0.84499999999999997</v>
      </c>
      <c r="F54" s="11" t="s">
        <v>59</v>
      </c>
      <c r="H54" s="8" t="s">
        <v>298</v>
      </c>
      <c r="I54" s="108" t="s">
        <v>306</v>
      </c>
      <c r="J54" s="71">
        <f>J84-D86</f>
        <v>-2322.3801741463285</v>
      </c>
      <c r="K54" s="70" t="s">
        <v>46</v>
      </c>
      <c r="L54" s="13"/>
    </row>
    <row r="55" spans="2:16" ht="15.6">
      <c r="B55" s="8" t="s">
        <v>294</v>
      </c>
      <c r="C55" s="5" t="s">
        <v>237</v>
      </c>
      <c r="D55" s="156">
        <v>158.09510579451708</v>
      </c>
      <c r="E55" s="136" t="s">
        <v>2</v>
      </c>
      <c r="F55" s="11"/>
      <c r="H55" s="8" t="s">
        <v>62</v>
      </c>
      <c r="I55" s="108" t="s">
        <v>299</v>
      </c>
      <c r="J55" s="110">
        <f>D55/D50</f>
        <v>0.2331356398813155</v>
      </c>
      <c r="K55" s="70"/>
      <c r="L55" s="13"/>
    </row>
    <row r="56" spans="2:16" ht="15.6">
      <c r="B56" s="8" t="s">
        <v>65</v>
      </c>
      <c r="C56" s="5" t="s">
        <v>66</v>
      </c>
      <c r="D56" s="71">
        <f>0.2*((D8/D50)^2)*0.6*SQRT(D23)/D24*D9*D50</f>
        <v>2402.4686066046906</v>
      </c>
      <c r="E56" s="10" t="s">
        <v>56</v>
      </c>
      <c r="F56" s="11" t="s">
        <v>67</v>
      </c>
      <c r="H56" s="8" t="s">
        <v>63</v>
      </c>
      <c r="I56" s="5"/>
      <c r="J56" s="150" t="str">
        <f>IF(J55&gt;0.36,"Check ku","ku OK")</f>
        <v>ku OK</v>
      </c>
      <c r="K56" s="69"/>
      <c r="L56" s="11" t="s">
        <v>64</v>
      </c>
    </row>
    <row r="57" spans="2:16" ht="15.6">
      <c r="B57" s="8" t="s">
        <v>68</v>
      </c>
      <c r="C57" s="5"/>
      <c r="D57" s="57" t="str">
        <f>IF(D51&gt;D56,"Pass","Fail")</f>
        <v>Pass</v>
      </c>
      <c r="E57" t="s">
        <v>69</v>
      </c>
      <c r="F57" s="11" t="s">
        <v>317</v>
      </c>
      <c r="H57" s="8" t="s">
        <v>300</v>
      </c>
      <c r="I57" s="108" t="s">
        <v>301</v>
      </c>
      <c r="J57" s="118">
        <f>((J78*1000*(D8-I34)+J79*1000*(D8-I35)+J80*1000*(D8-I36)+J81*1000*(D8-I37)+J82*1000*(D8-I38))-(D84*1000*D54*D55*0.5)-(D78*1000*I27+D79*1000*I28+D80*1000*I29+D81*1000*I30+D82*1000*I31))*10^-6</f>
        <v>4729.8010598214569</v>
      </c>
      <c r="K57" s="70" t="s">
        <v>192</v>
      </c>
      <c r="L57" s="13"/>
    </row>
    <row r="58" spans="2:16" ht="15.6">
      <c r="B58" s="8" t="s">
        <v>68</v>
      </c>
      <c r="C58" s="5"/>
      <c r="D58" s="57" t="str">
        <f>IF(D51&gt;J138,"Pass","Fail")</f>
        <v>Pass</v>
      </c>
      <c r="E58" t="s">
        <v>69</v>
      </c>
      <c r="F58" s="11" t="s">
        <v>318</v>
      </c>
      <c r="H58" s="8" t="s">
        <v>303</v>
      </c>
      <c r="I58" s="108" t="s">
        <v>302</v>
      </c>
      <c r="J58" s="118">
        <f>1.2*(D9*(D8^2)/6)*(0.6*SQRT(D23))/1000000</f>
        <v>814.58701192690262</v>
      </c>
      <c r="K58" s="70" t="s">
        <v>192</v>
      </c>
      <c r="L58" s="13"/>
    </row>
    <row r="59" spans="2:16" ht="15.6">
      <c r="B59" s="8" t="s">
        <v>239</v>
      </c>
      <c r="C59" s="5" t="s">
        <v>292</v>
      </c>
      <c r="D59" s="136">
        <v>3.0000000000000001E-3</v>
      </c>
      <c r="E59" s="136" t="s">
        <v>197</v>
      </c>
      <c r="F59" s="13"/>
      <c r="H59" s="8" t="s">
        <v>304</v>
      </c>
      <c r="I59" s="108" t="s">
        <v>305</v>
      </c>
      <c r="J59" s="118">
        <f>J57*D30</f>
        <v>3783.8408478571655</v>
      </c>
      <c r="K59" s="70" t="s">
        <v>192</v>
      </c>
      <c r="L59" s="13"/>
    </row>
    <row r="60" spans="2:16" ht="16.2" thickBot="1">
      <c r="B60" s="38" t="s">
        <v>238</v>
      </c>
      <c r="C60" s="39" t="s">
        <v>293</v>
      </c>
      <c r="D60" s="157">
        <v>2.5000000000000001E-3</v>
      </c>
      <c r="E60" s="157" t="s">
        <v>197</v>
      </c>
      <c r="F60" s="47"/>
      <c r="H60" s="38" t="s">
        <v>71</v>
      </c>
      <c r="I60" s="39"/>
      <c r="J60" s="59" t="str">
        <f>IF(J59&gt;D33,"Pass","Fail")</f>
        <v>Pass</v>
      </c>
      <c r="K60" s="40"/>
      <c r="L60" s="43" t="s">
        <v>52</v>
      </c>
      <c r="P60" s="42"/>
    </row>
    <row r="61" spans="2:16" ht="15" thickBot="1"/>
    <row r="62" spans="2:16" ht="15.6">
      <c r="B62" s="37" t="s">
        <v>240</v>
      </c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2:16">
      <c r="B63" s="127"/>
      <c r="L63" s="13"/>
    </row>
    <row r="64" spans="2:16">
      <c r="B64" s="137" t="s">
        <v>235</v>
      </c>
      <c r="C64" s="132"/>
      <c r="D64" s="138"/>
      <c r="E64" s="139"/>
      <c r="F64" s="130"/>
      <c r="G64" s="130"/>
      <c r="H64" s="129" t="s">
        <v>236</v>
      </c>
      <c r="I64" s="132"/>
      <c r="J64" s="138"/>
      <c r="K64" s="139"/>
      <c r="L64" s="146"/>
    </row>
    <row r="65" spans="2:15" ht="15.6">
      <c r="B65" s="140"/>
      <c r="C65" s="130"/>
      <c r="D65" s="141"/>
      <c r="H65" s="130"/>
      <c r="I65" s="130"/>
      <c r="J65" s="141"/>
      <c r="L65" s="146"/>
    </row>
    <row r="66" spans="2:15" ht="15.6">
      <c r="B66" s="8" t="s">
        <v>241</v>
      </c>
      <c r="C66" s="5" t="s">
        <v>282</v>
      </c>
      <c r="D66" s="142">
        <f>IF(I27=0,0,$D$59*($D$55-I27)/$D$55)</f>
        <v>1.4060227624785862E-3</v>
      </c>
      <c r="E66" s="136" t="s">
        <v>197</v>
      </c>
      <c r="H66" s="5" t="s">
        <v>261</v>
      </c>
      <c r="I66" s="5" t="s">
        <v>282</v>
      </c>
      <c r="J66" s="10">
        <f>IF(I34=0,0,$D$59*($D$8-I34-$D$55)/$D$55)</f>
        <v>1.0302119565506085E-2</v>
      </c>
      <c r="K66" s="136" t="s">
        <v>197</v>
      </c>
      <c r="L66" s="146"/>
      <c r="M66" s="130"/>
      <c r="N66" s="131"/>
      <c r="O66" s="130"/>
    </row>
    <row r="67" spans="2:15" ht="15.6">
      <c r="B67" s="8" t="s">
        <v>242</v>
      </c>
      <c r="C67" s="5" t="s">
        <v>283</v>
      </c>
      <c r="D67" s="142">
        <f>IF(I28=0,0,$D$59*($D$55-I28)/$D$55)</f>
        <v>2.484916733261309E-4</v>
      </c>
      <c r="E67" s="136" t="s">
        <v>197</v>
      </c>
      <c r="H67" s="5" t="s">
        <v>262</v>
      </c>
      <c r="I67" s="5" t="s">
        <v>283</v>
      </c>
      <c r="J67" s="10">
        <f>IF(I35=0,0,$D$59*($D$8-I35-$D$55)/$D$55)</f>
        <v>9.1445884763536305E-3</v>
      </c>
      <c r="K67" s="136" t="s">
        <v>197</v>
      </c>
      <c r="L67" s="146"/>
      <c r="M67" s="130"/>
      <c r="N67" s="131"/>
      <c r="O67" s="130"/>
    </row>
    <row r="68" spans="2:15" ht="15.6">
      <c r="B68" s="8" t="s">
        <v>243</v>
      </c>
      <c r="C68" s="5" t="s">
        <v>284</v>
      </c>
      <c r="D68" s="142">
        <f>IF(I29=0,0,$D$59*($D$55-I29)/$D$55)</f>
        <v>0</v>
      </c>
      <c r="E68" s="136" t="s">
        <v>197</v>
      </c>
      <c r="H68" s="5" t="s">
        <v>263</v>
      </c>
      <c r="I68" s="5" t="s">
        <v>284</v>
      </c>
      <c r="J68" s="10">
        <f>IF(I36=0,0,$D$59*($D$8-I36-$D$55)/$D$55)</f>
        <v>0</v>
      </c>
      <c r="K68" s="136" t="s">
        <v>197</v>
      </c>
      <c r="L68" s="13"/>
      <c r="M68" s="130"/>
      <c r="N68" s="131"/>
      <c r="O68" s="130"/>
    </row>
    <row r="69" spans="2:15" ht="15.6">
      <c r="B69" s="8" t="s">
        <v>244</v>
      </c>
      <c r="C69" s="5" t="s">
        <v>285</v>
      </c>
      <c r="D69" s="142">
        <f>IF(I30=0,0,$D$59*($D$55-I30)/$D$55)</f>
        <v>0</v>
      </c>
      <c r="E69" s="136" t="s">
        <v>197</v>
      </c>
      <c r="H69" s="5" t="s">
        <v>264</v>
      </c>
      <c r="I69" s="5" t="s">
        <v>285</v>
      </c>
      <c r="J69" s="10">
        <f>IF(I37=0,0,$D$59*($D$8-I37-$D$55)/$D$55)</f>
        <v>0</v>
      </c>
      <c r="K69" s="136" t="s">
        <v>197</v>
      </c>
      <c r="L69" s="13"/>
    </row>
    <row r="70" spans="2:15" ht="15.6">
      <c r="B70" s="8" t="s">
        <v>245</v>
      </c>
      <c r="C70" s="5" t="s">
        <v>286</v>
      </c>
      <c r="D70" s="142">
        <f>IF(I31=0,0,$D$59*($D$55-I31)/$D$55)</f>
        <v>0</v>
      </c>
      <c r="E70" s="136" t="s">
        <v>197</v>
      </c>
      <c r="H70" s="5" t="s">
        <v>265</v>
      </c>
      <c r="I70" s="5" t="s">
        <v>286</v>
      </c>
      <c r="J70" s="10">
        <f>IF(I38=0,0,$D$59*($D$8-I38-$D$55)/$D$55)</f>
        <v>0</v>
      </c>
      <c r="K70" s="136" t="s">
        <v>197</v>
      </c>
      <c r="L70" s="13"/>
    </row>
    <row r="71" spans="2:15" ht="15.6">
      <c r="B71" s="143"/>
      <c r="C71" s="136"/>
      <c r="D71" s="136"/>
      <c r="E71" s="136"/>
      <c r="H71" s="70"/>
      <c r="I71" s="136"/>
      <c r="J71" s="136"/>
      <c r="K71" s="136"/>
      <c r="L71" s="13"/>
    </row>
    <row r="72" spans="2:15" ht="15" customHeight="1">
      <c r="B72" s="144" t="s">
        <v>246</v>
      </c>
      <c r="C72" s="18" t="s">
        <v>287</v>
      </c>
      <c r="D72" s="149">
        <f>MIN(D66*$D$27,D24)</f>
        <v>281.20455249571722</v>
      </c>
      <c r="E72" s="136" t="s">
        <v>25</v>
      </c>
      <c r="H72" s="108" t="s">
        <v>266</v>
      </c>
      <c r="I72" s="18" t="s">
        <v>287</v>
      </c>
      <c r="J72" s="149">
        <f>MIN(J66*$D$27,D25)</f>
        <v>500</v>
      </c>
      <c r="K72" s="136" t="s">
        <v>25</v>
      </c>
      <c r="L72" s="13"/>
    </row>
    <row r="73" spans="2:15" ht="18.600000000000001">
      <c r="B73" s="144" t="s">
        <v>247</v>
      </c>
      <c r="C73" s="18" t="s">
        <v>288</v>
      </c>
      <c r="D73" s="149">
        <f>MIN(D67*$D$27,D25)</f>
        <v>49.698334665226177</v>
      </c>
      <c r="E73" s="136" t="s">
        <v>25</v>
      </c>
      <c r="H73" s="108" t="s">
        <v>267</v>
      </c>
      <c r="I73" s="18" t="s">
        <v>288</v>
      </c>
      <c r="J73" s="149">
        <f>MIN(J67*$D$27,D26)</f>
        <v>500</v>
      </c>
      <c r="K73" s="136" t="s">
        <v>25</v>
      </c>
      <c r="L73" s="13"/>
    </row>
    <row r="74" spans="2:15" ht="15" customHeight="1">
      <c r="B74" s="144" t="s">
        <v>248</v>
      </c>
      <c r="C74" s="18" t="s">
        <v>289</v>
      </c>
      <c r="D74" s="149">
        <f>MIN(D68*$D$27,D26)</f>
        <v>0</v>
      </c>
      <c r="E74" s="136" t="s">
        <v>25</v>
      </c>
      <c r="H74" s="108" t="s">
        <v>268</v>
      </c>
      <c r="I74" s="18" t="s">
        <v>289</v>
      </c>
      <c r="J74" s="149">
        <f>MIN(J68*$D$27,D27)</f>
        <v>0</v>
      </c>
      <c r="K74" s="136" t="s">
        <v>25</v>
      </c>
      <c r="L74" s="13"/>
    </row>
    <row r="75" spans="2:15" ht="15.75" customHeight="1">
      <c r="B75" s="144" t="s">
        <v>249</v>
      </c>
      <c r="C75" s="18" t="s">
        <v>290</v>
      </c>
      <c r="D75" s="149">
        <f>MIN(D69*$D$27,D27)</f>
        <v>0</v>
      </c>
      <c r="E75" s="136" t="s">
        <v>25</v>
      </c>
      <c r="H75" s="108" t="s">
        <v>269</v>
      </c>
      <c r="I75" s="18" t="s">
        <v>290</v>
      </c>
      <c r="J75" s="149">
        <f>MIN(J69*$D$27,D28)</f>
        <v>0</v>
      </c>
      <c r="K75" s="136" t="s">
        <v>25</v>
      </c>
      <c r="L75" s="13"/>
    </row>
    <row r="76" spans="2:15" ht="15" customHeight="1">
      <c r="B76" s="144" t="s">
        <v>250</v>
      </c>
      <c r="C76" s="18" t="s">
        <v>291</v>
      </c>
      <c r="D76" s="149">
        <f>MIN(D70*$D$27,D28)</f>
        <v>0</v>
      </c>
      <c r="E76" s="136" t="s">
        <v>25</v>
      </c>
      <c r="H76" s="108" t="s">
        <v>270</v>
      </c>
      <c r="I76" s="18" t="s">
        <v>291</v>
      </c>
      <c r="J76" s="149">
        <f>MIN(J70*$D$27,D29)</f>
        <v>0</v>
      </c>
      <c r="K76" s="136" t="s">
        <v>25</v>
      </c>
      <c r="L76" s="13"/>
    </row>
    <row r="77" spans="2:15" ht="15.6">
      <c r="B77" s="145"/>
      <c r="C77" s="136"/>
      <c r="D77" s="149"/>
      <c r="E77" s="136"/>
      <c r="H77" s="70"/>
      <c r="I77" s="136"/>
      <c r="J77" s="149"/>
      <c r="K77" s="136"/>
      <c r="L77" s="13"/>
    </row>
    <row r="78" spans="2:15" ht="15.6">
      <c r="B78" s="144" t="s">
        <v>251</v>
      </c>
      <c r="C78" s="5" t="s">
        <v>256</v>
      </c>
      <c r="D78" s="149">
        <f>H27*ROUND(PI()*$D$15^2*0.25,-1)*D72*10^-3</f>
        <v>2868.2864354563158</v>
      </c>
      <c r="E78" s="136" t="s">
        <v>46</v>
      </c>
      <c r="H78" s="108" t="s">
        <v>271</v>
      </c>
      <c r="I78" s="5" t="s">
        <v>256</v>
      </c>
      <c r="J78" s="149">
        <f>H34*ROUND(PI()*$D$16^2*0.25,-1)*J72*10^-3</f>
        <v>5100</v>
      </c>
      <c r="K78" s="136" t="s">
        <v>46</v>
      </c>
      <c r="L78" s="13"/>
    </row>
    <row r="79" spans="2:15" ht="15.6">
      <c r="B79" s="144" t="s">
        <v>252</v>
      </c>
      <c r="C79" s="5" t="s">
        <v>257</v>
      </c>
      <c r="D79" s="149">
        <f>H28*ROUND(PI()*$D$15^2*0.25,-1)*D73*10^-3</f>
        <v>304.15380815118425</v>
      </c>
      <c r="E79" s="136" t="s">
        <v>46</v>
      </c>
      <c r="H79" s="108" t="s">
        <v>272</v>
      </c>
      <c r="I79" s="5" t="s">
        <v>257</v>
      </c>
      <c r="J79" s="149">
        <f>H35*ROUND(PI()*$D$16^2*0.25,-1)*J73*10^-3</f>
        <v>3060</v>
      </c>
      <c r="K79" s="136" t="s">
        <v>46</v>
      </c>
      <c r="L79" s="13"/>
    </row>
    <row r="80" spans="2:15" ht="15.6">
      <c r="B80" s="144" t="s">
        <v>253</v>
      </c>
      <c r="C80" s="5" t="s">
        <v>258</v>
      </c>
      <c r="D80" s="149">
        <f>H29*ROUND(PI()*$D$15^2*0.25,-1)*D74*10^-3</f>
        <v>0</v>
      </c>
      <c r="E80" s="136" t="s">
        <v>46</v>
      </c>
      <c r="H80" s="108" t="s">
        <v>273</v>
      </c>
      <c r="I80" s="5" t="s">
        <v>258</v>
      </c>
      <c r="J80" s="149">
        <f>H36*ROUND(PI()*$D$16^2*0.25,-1)*J74*10^-3</f>
        <v>0</v>
      </c>
      <c r="K80" s="136" t="s">
        <v>46</v>
      </c>
      <c r="L80" s="13"/>
    </row>
    <row r="81" spans="2:12" ht="15.6">
      <c r="B81" s="144" t="s">
        <v>254</v>
      </c>
      <c r="C81" s="5" t="s">
        <v>259</v>
      </c>
      <c r="D81" s="149">
        <f>H30*ROUND(PI()*$D$15^2*0.25,-1)*D75*10^-3</f>
        <v>0</v>
      </c>
      <c r="E81" s="136" t="s">
        <v>46</v>
      </c>
      <c r="H81" s="108" t="s">
        <v>274</v>
      </c>
      <c r="I81" s="5" t="s">
        <v>259</v>
      </c>
      <c r="J81" s="149">
        <f>H37*ROUND(PI()*$D$16^2*0.25,-1)*J75*10^-3</f>
        <v>0</v>
      </c>
      <c r="K81" s="136" t="s">
        <v>46</v>
      </c>
      <c r="L81" s="13"/>
    </row>
    <row r="82" spans="2:12" ht="15.6">
      <c r="B82" s="144" t="s">
        <v>255</v>
      </c>
      <c r="C82" s="5" t="s">
        <v>260</v>
      </c>
      <c r="D82" s="149">
        <f>H31*ROUND(PI()*$D$15^2*0.25,-1)*D76*10^-3</f>
        <v>0</v>
      </c>
      <c r="E82" s="136" t="s">
        <v>46</v>
      </c>
      <c r="H82" s="108" t="s">
        <v>275</v>
      </c>
      <c r="I82" s="5" t="s">
        <v>260</v>
      </c>
      <c r="J82" s="149">
        <f>H38*ROUND(PI()*$D$16^2*0.25,-1)*J76*10^-3</f>
        <v>0</v>
      </c>
      <c r="K82" s="136" t="s">
        <v>46</v>
      </c>
      <c r="L82" s="13"/>
    </row>
    <row r="83" spans="2:12" ht="15.6">
      <c r="B83" s="143"/>
      <c r="C83" s="136"/>
      <c r="D83" s="149"/>
      <c r="E83" s="136"/>
      <c r="H83" s="70"/>
      <c r="I83" s="136"/>
      <c r="J83" s="136"/>
      <c r="K83" s="136"/>
      <c r="L83" s="13"/>
    </row>
    <row r="84" spans="2:12" ht="15.6">
      <c r="B84" s="144" t="s">
        <v>276</v>
      </c>
      <c r="C84" s="5" t="s">
        <v>277</v>
      </c>
      <c r="D84" s="149">
        <f>D53*D54*D23*D9*D55*10^-3</f>
        <v>7764.9399305388288</v>
      </c>
      <c r="E84" s="136" t="s">
        <v>46</v>
      </c>
      <c r="H84" s="5" t="s">
        <v>280</v>
      </c>
      <c r="I84" s="5" t="s">
        <v>281</v>
      </c>
      <c r="J84" s="72">
        <f>SUM(J78:J82)-D35/2</f>
        <v>8387.5</v>
      </c>
      <c r="K84" s="10" t="s">
        <v>46</v>
      </c>
      <c r="L84" s="13"/>
    </row>
    <row r="85" spans="2:12" ht="15.6">
      <c r="B85" s="143"/>
      <c r="C85" s="136"/>
      <c r="D85" s="136"/>
      <c r="E85" s="136"/>
      <c r="L85" s="13"/>
    </row>
    <row r="86" spans="2:12" ht="15.6">
      <c r="B86" s="8" t="s">
        <v>278</v>
      </c>
      <c r="C86" s="5" t="s">
        <v>279</v>
      </c>
      <c r="D86" s="72">
        <f>D84+SUM(D78:D82)+D35/2</f>
        <v>10709.880174146328</v>
      </c>
      <c r="E86" s="10" t="s">
        <v>46</v>
      </c>
      <c r="L86" s="13"/>
    </row>
    <row r="87" spans="2:12" ht="15" thickBot="1">
      <c r="B87" s="128"/>
      <c r="C87" s="46"/>
      <c r="D87" s="46"/>
      <c r="E87" s="46"/>
      <c r="F87" s="46"/>
      <c r="G87" s="46"/>
      <c r="H87" s="46"/>
      <c r="I87" s="46"/>
      <c r="J87" s="46"/>
      <c r="K87" s="46"/>
      <c r="L87" s="47"/>
    </row>
    <row r="88" spans="2:12" ht="15" thickBot="1"/>
    <row r="89" spans="2:12" ht="18.600000000000001" thickBot="1">
      <c r="B89" s="1" t="s">
        <v>92</v>
      </c>
      <c r="C89" s="2"/>
      <c r="L89" s="19"/>
    </row>
    <row r="90" spans="2:12" ht="15" thickBot="1"/>
    <row r="91" spans="2:12" ht="15.6">
      <c r="B91" s="37" t="s">
        <v>99</v>
      </c>
      <c r="C91" s="6"/>
      <c r="D91" s="6"/>
      <c r="E91" s="6"/>
      <c r="F91" s="7"/>
    </row>
    <row r="92" spans="2:12">
      <c r="B92" s="44" t="s">
        <v>100</v>
      </c>
      <c r="F92" s="13"/>
    </row>
    <row r="93" spans="2:12" ht="15" thickBot="1">
      <c r="B93" s="122" t="s">
        <v>109</v>
      </c>
      <c r="C93" s="46"/>
      <c r="D93" s="46"/>
      <c r="E93" s="46"/>
      <c r="F93" s="47"/>
    </row>
    <row r="94" spans="2:12" ht="15" thickBot="1"/>
    <row r="95" spans="2:12" ht="15.75" customHeight="1">
      <c r="B95" s="37" t="s">
        <v>172</v>
      </c>
      <c r="C95" s="21"/>
      <c r="D95" s="21"/>
      <c r="E95" s="21"/>
      <c r="F95" s="22"/>
      <c r="H95" s="37" t="s">
        <v>173</v>
      </c>
      <c r="I95" s="21"/>
      <c r="J95" s="21"/>
      <c r="K95" s="21"/>
      <c r="L95" s="22"/>
    </row>
    <row r="96" spans="2:12" ht="15.75" customHeight="1">
      <c r="B96" s="8" t="s">
        <v>125</v>
      </c>
      <c r="C96" s="5" t="s">
        <v>114</v>
      </c>
      <c r="D96" s="10">
        <f>'PC-B4-7_DDR1 (2)'!D8*'PC-B4-7_DDR1 (2)'!D9</f>
        <v>1200000</v>
      </c>
      <c r="E96" s="10" t="s">
        <v>56</v>
      </c>
      <c r="F96" s="11" t="s">
        <v>93</v>
      </c>
      <c r="H96" s="8" t="s">
        <v>125</v>
      </c>
      <c r="I96" s="5" t="s">
        <v>114</v>
      </c>
      <c r="J96" s="10">
        <f>'PC-B4-7_DDR1 (2)'!D8*'PC-B4-7_DDR1 (2)'!D9</f>
        <v>1200000</v>
      </c>
      <c r="K96" s="10" t="s">
        <v>56</v>
      </c>
      <c r="L96" s="11" t="s">
        <v>93</v>
      </c>
    </row>
    <row r="97" spans="2:12" ht="15.6">
      <c r="B97" s="8" t="s">
        <v>126</v>
      </c>
      <c r="C97" s="5" t="s">
        <v>115</v>
      </c>
      <c r="D97" s="10">
        <f>2*'PC-B4-7_DDR1 (2)'!D8+2*'PC-B4-7_DDR1 (2)'!D9</f>
        <v>4600</v>
      </c>
      <c r="E97" s="10" t="s">
        <v>2</v>
      </c>
      <c r="F97" s="11" t="s">
        <v>93</v>
      </c>
      <c r="H97" s="8" t="s">
        <v>126</v>
      </c>
      <c r="I97" s="5" t="s">
        <v>115</v>
      </c>
      <c r="J97" s="10">
        <f>2*'PC-B4-7_DDR1 (2)'!D8+2*'PC-B4-7_DDR1 (2)'!D9</f>
        <v>4600</v>
      </c>
      <c r="K97" s="10" t="s">
        <v>2</v>
      </c>
      <c r="L97" s="11" t="s">
        <v>93</v>
      </c>
    </row>
    <row r="98" spans="2:12" ht="15.6">
      <c r="B98" s="8" t="s">
        <v>94</v>
      </c>
      <c r="C98" s="5" t="s">
        <v>116</v>
      </c>
      <c r="D98" s="60">
        <f>0.33*SQRT('PC-B4-7_DDR1 (2)'!D23)*((D96^2)/(D97))*SQRT(1)*10^-6</f>
        <v>730.47204873879866</v>
      </c>
      <c r="E98" s="50" t="s">
        <v>40</v>
      </c>
      <c r="F98" s="11" t="s">
        <v>93</v>
      </c>
      <c r="H98" s="8" t="s">
        <v>94</v>
      </c>
      <c r="I98" s="5" t="s">
        <v>116</v>
      </c>
      <c r="J98" s="60">
        <f>0.33*SQRT('PC-B4-7_DDR1 (2)'!D23)*((J96^2)/(J97))*SQRT(1)*10^-6</f>
        <v>730.47204873879866</v>
      </c>
      <c r="K98" s="50" t="s">
        <v>40</v>
      </c>
      <c r="L98" s="11" t="s">
        <v>93</v>
      </c>
    </row>
    <row r="99" spans="2:12" ht="15.6">
      <c r="B99" s="8" t="s">
        <v>95</v>
      </c>
      <c r="C99" s="5"/>
      <c r="D99" s="57" t="str">
        <f>IF(0.25*'PC-B4-7_DDR1 (2)'!D31*D98&gt;'PC-B4-7_DDR1 (2)'!D37,"Pass","Fail")</f>
        <v>Fail</v>
      </c>
      <c r="E99" s="51"/>
      <c r="F99" s="11" t="s">
        <v>96</v>
      </c>
      <c r="H99" s="8" t="s">
        <v>95</v>
      </c>
      <c r="I99" s="5"/>
      <c r="J99" s="57" t="str">
        <f>IF(0.25*'PC-B4-7_DDR1 (2)'!D31*J98&gt;'PC-B4-7_DDR1 (2)'!D37,"Pass","Fail")</f>
        <v>Fail</v>
      </c>
      <c r="K99" s="51"/>
      <c r="L99" s="11" t="s">
        <v>96</v>
      </c>
    </row>
    <row r="100" spans="2:12" ht="15.6">
      <c r="B100" s="8" t="s">
        <v>101</v>
      </c>
      <c r="C100" s="5" t="s">
        <v>117</v>
      </c>
      <c r="D100" s="60">
        <f>ROUND(PI()*'PC-B4-7_DDR1 (2)'!D21^2/4,-1)*2</f>
        <v>400</v>
      </c>
      <c r="E100" s="10" t="s">
        <v>56</v>
      </c>
      <c r="F100" s="11" t="s">
        <v>108</v>
      </c>
      <c r="H100" s="8" t="s">
        <v>101</v>
      </c>
      <c r="I100" s="5" t="s">
        <v>117</v>
      </c>
      <c r="J100" s="60">
        <f>ROUND(PI()*'PC-B4-7_DDR1 (2)'!D21^2/4,-1)*2</f>
        <v>400</v>
      </c>
      <c r="K100" s="10" t="s">
        <v>56</v>
      </c>
      <c r="L100" s="11" t="s">
        <v>108</v>
      </c>
    </row>
    <row r="101" spans="2:12" ht="15.6">
      <c r="B101" s="8" t="s">
        <v>107</v>
      </c>
      <c r="C101" s="5" t="s">
        <v>118</v>
      </c>
      <c r="D101" s="49">
        <f>MAX('PC-B4-7_DDR1 (2)'!D8:D9)-'PC-B4-7_DDR1 (2)'!D13-'PC-B4-7_DDR1 (2)'!D14-'PC-B4-7_DDR1 (2)'!D21</f>
        <v>1369</v>
      </c>
      <c r="E101" s="10" t="s">
        <v>2</v>
      </c>
      <c r="F101" s="11" t="s">
        <v>108</v>
      </c>
      <c r="H101" s="8" t="s">
        <v>107</v>
      </c>
      <c r="I101" s="5" t="s">
        <v>118</v>
      </c>
      <c r="J101" s="49">
        <f>MAX('PC-B4-7_DDR1 (2)'!D8:D9)-'PC-B4-7_DDR1 (2)'!D13-'PC-B4-7_DDR1 (2)'!D14-'PC-B4-7_DDR1 (2)'!D21</f>
        <v>1369</v>
      </c>
      <c r="K101" s="10" t="s">
        <v>2</v>
      </c>
      <c r="L101" s="11" t="s">
        <v>108</v>
      </c>
    </row>
    <row r="102" spans="2:12" ht="15.6">
      <c r="B102" s="8" t="s">
        <v>79</v>
      </c>
      <c r="C102" s="15" t="s">
        <v>80</v>
      </c>
      <c r="D102" s="60">
        <f>IF(D149="Simplified Method",36,D159)</f>
        <v>33.775650556423741</v>
      </c>
      <c r="E102" s="10" t="s">
        <v>81</v>
      </c>
      <c r="F102" s="11" t="s">
        <v>122</v>
      </c>
      <c r="H102" s="8" t="s">
        <v>79</v>
      </c>
      <c r="I102" s="15" t="s">
        <v>80</v>
      </c>
      <c r="J102" s="60">
        <f>IF(J149="Simplified Method",36,J159)</f>
        <v>33.77938272981563</v>
      </c>
      <c r="K102" s="10" t="s">
        <v>81</v>
      </c>
      <c r="L102" s="11" t="s">
        <v>122</v>
      </c>
    </row>
    <row r="103" spans="2:12" ht="30">
      <c r="B103" s="63" t="s">
        <v>110</v>
      </c>
      <c r="C103" s="64" t="s">
        <v>111</v>
      </c>
      <c r="D103" s="64">
        <f>D101*(MIN('PC-B4-7_DDR1 (2)'!D8:D9)-'PC-B4-7_DDR1 (2)'!D13-'PC-B4-7_DDR1 (2)'!D14-'PC-B4-7_DDR1 (2)'!D18)</f>
        <v>915861</v>
      </c>
      <c r="E103" s="65" t="s">
        <v>56</v>
      </c>
      <c r="F103" s="66" t="s">
        <v>119</v>
      </c>
      <c r="H103" s="63" t="s">
        <v>110</v>
      </c>
      <c r="I103" s="64" t="s">
        <v>111</v>
      </c>
      <c r="J103" s="64">
        <f>J101*(MIN('PC-B4-7_DDR1 (2)'!D8:D9)-'PC-B4-7_DDR1 (2)'!D13-'PC-B4-7_DDR1 (2)'!D14-'PC-B4-7_DDR1 (2)'!D18)</f>
        <v>915861</v>
      </c>
      <c r="K103" s="65" t="s">
        <v>56</v>
      </c>
      <c r="L103" s="66" t="s">
        <v>119</v>
      </c>
    </row>
    <row r="104" spans="2:12" ht="15.6">
      <c r="B104" s="8" t="s">
        <v>112</v>
      </c>
      <c r="C104" s="5" t="s">
        <v>113</v>
      </c>
      <c r="D104" s="60">
        <f>2*D103*((D100*'PC-B4-7_DDR1 (2)'!D26)/'PC-B4-7_DDR1 (2)'!D19)*_xlfn.COT(RADIANS(D102))*10^-6</f>
        <v>2738.7106983455392</v>
      </c>
      <c r="E104" s="10" t="s">
        <v>40</v>
      </c>
      <c r="F104" s="11" t="s">
        <v>119</v>
      </c>
      <c r="H104" s="8" t="s">
        <v>112</v>
      </c>
      <c r="I104" s="5" t="s">
        <v>113</v>
      </c>
      <c r="J104" s="60">
        <f>2*J103*((J100*'PC-B4-7_DDR1 (2)'!D26)/'PC-B4-7_DDR1 (2)'!D19)*_xlfn.COT(RADIANS(J102))*10^-6</f>
        <v>2738.3246898809921</v>
      </c>
      <c r="K104" s="10" t="s">
        <v>40</v>
      </c>
      <c r="L104" s="11" t="s">
        <v>119</v>
      </c>
    </row>
    <row r="105" spans="2:12" ht="16.2" thickBot="1">
      <c r="B105" s="38" t="s">
        <v>121</v>
      </c>
      <c r="C105" s="39" t="s">
        <v>52</v>
      </c>
      <c r="D105" s="59" t="str">
        <f>IF(OR(D98&lt;=D104,(D100/'PC-B4-7_DDR1 (2)'!D19)&gt;=(0.2*D101/'PC-B4-7_DDR1 (2)'!D26)),"Pass","Fail")</f>
        <v>Pass</v>
      </c>
      <c r="E105" s="46"/>
      <c r="F105" s="43" t="s">
        <v>108</v>
      </c>
      <c r="H105" s="38" t="s">
        <v>121</v>
      </c>
      <c r="I105" s="39" t="s">
        <v>52</v>
      </c>
      <c r="J105" s="59" t="str">
        <f>IF(OR(J98&lt;=J104,(J100/'PC-B4-7_DDR1 (2)'!D19)&gt;=(0.2*J101/'PC-B4-7_DDR1 (2)'!D26)),"Pass","Fail")</f>
        <v>Pass</v>
      </c>
      <c r="K105" s="46"/>
      <c r="L105" s="43" t="s">
        <v>108</v>
      </c>
    </row>
    <row r="106" spans="2:12" ht="15" thickBot="1"/>
    <row r="107" spans="2:12" ht="18.600000000000001" thickBot="1">
      <c r="B107" s="1" t="s">
        <v>98</v>
      </c>
      <c r="C107" s="2"/>
      <c r="H107" s="1" t="s">
        <v>234</v>
      </c>
      <c r="L107" s="19"/>
    </row>
    <row r="108" spans="2:12" ht="15" thickBot="1"/>
    <row r="109" spans="2:12" ht="15.6">
      <c r="B109" s="37" t="s">
        <v>99</v>
      </c>
      <c r="C109" s="6"/>
      <c r="D109" s="6"/>
      <c r="E109" s="6"/>
      <c r="F109" s="7"/>
      <c r="H109" s="125" t="s">
        <v>222</v>
      </c>
      <c r="I109" s="6"/>
      <c r="J109" s="6"/>
      <c r="K109" s="6"/>
      <c r="L109" s="7"/>
    </row>
    <row r="110" spans="2:12">
      <c r="B110" s="44" t="s">
        <v>100</v>
      </c>
      <c r="F110" s="13"/>
      <c r="H110" s="126" t="s">
        <v>223</v>
      </c>
      <c r="L110" s="13"/>
    </row>
    <row r="111" spans="2:12">
      <c r="B111" s="44" t="s">
        <v>109</v>
      </c>
      <c r="F111" s="13"/>
      <c r="H111" s="155" t="s">
        <v>323</v>
      </c>
      <c r="L111" s="13"/>
    </row>
    <row r="112" spans="2:12">
      <c r="B112" s="44" t="s">
        <v>120</v>
      </c>
      <c r="F112" s="13"/>
      <c r="H112" s="127"/>
      <c r="L112" s="13"/>
    </row>
    <row r="113" spans="2:12">
      <c r="B113" s="44" t="s">
        <v>233</v>
      </c>
      <c r="F113" s="13"/>
      <c r="H113" s="127"/>
      <c r="L113" s="13"/>
    </row>
    <row r="114" spans="2:12" ht="15" thickBot="1">
      <c r="B114" s="154" t="s">
        <v>144</v>
      </c>
      <c r="C114" s="46"/>
      <c r="D114" s="46"/>
      <c r="E114" s="46"/>
      <c r="F114" s="47"/>
      <c r="H114" s="128"/>
      <c r="I114" s="46"/>
      <c r="J114" s="46"/>
      <c r="K114" s="46"/>
      <c r="L114" s="47"/>
    </row>
    <row r="117" spans="2:12" ht="15" thickBot="1"/>
    <row r="118" spans="2:12" ht="15.6">
      <c r="B118" s="37" t="s">
        <v>172</v>
      </c>
      <c r="C118" s="21"/>
      <c r="D118" s="21"/>
      <c r="E118" s="21"/>
      <c r="F118" s="22"/>
      <c r="H118" s="37" t="s">
        <v>173</v>
      </c>
      <c r="I118" s="21"/>
      <c r="J118" s="21"/>
      <c r="K118" s="21"/>
      <c r="L118" s="22"/>
    </row>
    <row r="119" spans="2:12" ht="15.6">
      <c r="B119" s="8" t="s">
        <v>106</v>
      </c>
      <c r="C119" s="5" t="s">
        <v>105</v>
      </c>
      <c r="D119" s="49">
        <f>0.85*J103</f>
        <v>778481.85</v>
      </c>
      <c r="E119" t="s">
        <v>56</v>
      </c>
      <c r="F119" s="11" t="s">
        <v>137</v>
      </c>
      <c r="H119" s="8" t="s">
        <v>106</v>
      </c>
      <c r="I119" s="5" t="s">
        <v>105</v>
      </c>
      <c r="J119" s="49">
        <f>0.85*D103</f>
        <v>778481.85</v>
      </c>
      <c r="K119" t="s">
        <v>56</v>
      </c>
      <c r="L119" s="11" t="s">
        <v>137</v>
      </c>
    </row>
    <row r="120" spans="2:12" ht="15.6">
      <c r="B120" s="8" t="s">
        <v>44</v>
      </c>
      <c r="C120" s="5" t="s">
        <v>104</v>
      </c>
      <c r="D120" s="49">
        <f>SQRT(('PC-B4-7_DDR1 (2)'!D36^2)+((0.9*'PC-B4-7_DDR1 (2)'!D37*(D127/1000))/(2*D119*10^-6))^2)</f>
        <v>981.89563042562384</v>
      </c>
      <c r="E120" t="s">
        <v>46</v>
      </c>
      <c r="F120" s="11"/>
      <c r="H120" s="8" t="s">
        <v>44</v>
      </c>
      <c r="I120" s="5" t="s">
        <v>320</v>
      </c>
      <c r="J120" s="49">
        <f>SQRT(('PC-B4-7_DDR1 (2)'!D36^2)+((0.9*'PC-B4-7_DDR1 (2)'!D37*(J127/1000))/(2*J119*10^-6))^2)</f>
        <v>985.37614869736865</v>
      </c>
      <c r="K120" t="s">
        <v>46</v>
      </c>
      <c r="L120" s="11"/>
    </row>
    <row r="121" spans="2:12" ht="15.6">
      <c r="B121" s="8" t="s">
        <v>128</v>
      </c>
      <c r="C121" s="5" t="s">
        <v>127</v>
      </c>
      <c r="D121" s="10">
        <f>'PC-B4-7_DDR1 (2)'!D9</f>
        <v>1500</v>
      </c>
      <c r="E121" s="50" t="s">
        <v>129</v>
      </c>
      <c r="F121" s="11" t="s">
        <v>130</v>
      </c>
      <c r="H121" s="8" t="s">
        <v>128</v>
      </c>
      <c r="I121" s="5" t="s">
        <v>127</v>
      </c>
      <c r="J121" s="10">
        <f>'PC-B4-7_DDR1 (2)'!D9</f>
        <v>1500</v>
      </c>
      <c r="K121" s="50" t="s">
        <v>129</v>
      </c>
      <c r="L121" s="11" t="s">
        <v>130</v>
      </c>
    </row>
    <row r="122" spans="2:12" ht="15.6">
      <c r="B122" s="8" t="s">
        <v>132</v>
      </c>
      <c r="C122" s="5" t="s">
        <v>133</v>
      </c>
      <c r="D122" s="10">
        <f>MAX(0.72*'PC-B4-7_DDR1 (2)'!D8,0.9*'PC-B4-7_DDR1 (2)'!D11)</f>
        <v>610.3125</v>
      </c>
      <c r="E122" s="10" t="s">
        <v>2</v>
      </c>
      <c r="F122" s="11" t="s">
        <v>21</v>
      </c>
      <c r="H122" s="8" t="s">
        <v>132</v>
      </c>
      <c r="I122" s="5" t="s">
        <v>133</v>
      </c>
      <c r="J122" s="10">
        <f>MAX(0.72*'PC-B4-7_DDR1 (2)'!D8,0.9*'PC-B4-7_DDR1 (2)'!D11)</f>
        <v>610.3125</v>
      </c>
      <c r="K122" s="10" t="s">
        <v>2</v>
      </c>
      <c r="L122" s="11" t="s">
        <v>319</v>
      </c>
    </row>
    <row r="123" spans="2:12" ht="15.6">
      <c r="B123" s="8" t="s">
        <v>83</v>
      </c>
      <c r="C123" s="5" t="s">
        <v>84</v>
      </c>
      <c r="D123" s="49">
        <f>0.08*SQRT('PC-B4-7_DDR1 (2)'!D23)*D121/'PC-B4-7_DDR1 (2)'!D26*'PC-B4-7_DDR1 (2)'!D19</f>
        <v>339.41125496954282</v>
      </c>
      <c r="E123" s="10" t="s">
        <v>56</v>
      </c>
      <c r="F123" s="11" t="s">
        <v>131</v>
      </c>
      <c r="H123" s="8" t="s">
        <v>83</v>
      </c>
      <c r="I123" s="5" t="s">
        <v>84</v>
      </c>
      <c r="J123" s="49">
        <f>0.08*SQRT('PC-B4-7_DDR1 (2)'!D23)*J121/'PC-B4-7_DDR1 (2)'!D26*'PC-B4-7_DDR1 (2)'!D19</f>
        <v>339.41125496954282</v>
      </c>
      <c r="K123" s="10" t="s">
        <v>56</v>
      </c>
      <c r="L123" s="11" t="s">
        <v>131</v>
      </c>
    </row>
    <row r="124" spans="2:12" ht="15.6">
      <c r="B124" s="8" t="s">
        <v>141</v>
      </c>
      <c r="C124" s="5" t="s">
        <v>82</v>
      </c>
      <c r="D124" s="10">
        <f>(ROUND(PI()*'PC-B4-7_DDR1 (2)'!D18^2/4,-1))*'PC-B4-7_DDR1 (2)'!D20</f>
        <v>800</v>
      </c>
      <c r="E124" t="s">
        <v>56</v>
      </c>
      <c r="F124" s="13"/>
      <c r="H124" s="8" t="s">
        <v>141</v>
      </c>
      <c r="I124" s="5" t="s">
        <v>82</v>
      </c>
      <c r="J124" s="10">
        <f>(ROUND(PI()*'PC-B4-7_DDR1 (2)'!D18^2/4,-1))*'PC-B4-7_DDR1 (2)'!D20</f>
        <v>800</v>
      </c>
      <c r="K124" s="10" t="s">
        <v>56</v>
      </c>
      <c r="L124" s="13"/>
    </row>
    <row r="125" spans="2:12" ht="15.6">
      <c r="B125" s="8" t="s">
        <v>85</v>
      </c>
      <c r="C125" s="5" t="s">
        <v>52</v>
      </c>
      <c r="D125" s="57" t="str">
        <f>IF(D124&gt;D123,"Pass","Fail")</f>
        <v>Pass</v>
      </c>
      <c r="F125" s="14"/>
      <c r="H125" s="8" t="s">
        <v>85</v>
      </c>
      <c r="I125" s="5" t="s">
        <v>52</v>
      </c>
      <c r="J125" s="57" t="str">
        <f>IF(J124&gt;J123,"Pass","Fail")</f>
        <v>Pass</v>
      </c>
      <c r="L125" s="14"/>
    </row>
    <row r="126" spans="2:12" ht="15.6">
      <c r="B126" s="8" t="s">
        <v>75</v>
      </c>
      <c r="C126" s="5" t="s">
        <v>76</v>
      </c>
      <c r="D126" s="61">
        <f>0.55*(0.9*'PC-B4-7_DDR1 (2)'!D23*D121*D122*(((_xlfn.COT(RADIANS(J102)))+0)/(1+(_xlfn.COT(RADIANS(J102)))^2)))*10^-3*IF(D125="Pass",0.75,0.7)</f>
        <v>7853.2528102141841</v>
      </c>
      <c r="E126" s="50" t="s">
        <v>46</v>
      </c>
      <c r="F126" s="11" t="s">
        <v>135</v>
      </c>
      <c r="H126" s="8" t="s">
        <v>75</v>
      </c>
      <c r="I126" s="5" t="s">
        <v>76</v>
      </c>
      <c r="J126" s="61">
        <f>0.55*(0.9*'PC-B4-7_DDR1 (2)'!D23*J121*J122*(((_xlfn.COT(RADIANS(D102)))+0)/(1+(_xlfn.COT(RADIANS(D102)))^2)))*10^-3*IF(J125="Pass",0.75,0.7)</f>
        <v>7852.8301898855107</v>
      </c>
      <c r="K126" s="50" t="s">
        <v>46</v>
      </c>
      <c r="L126" s="11" t="s">
        <v>135</v>
      </c>
    </row>
    <row r="127" spans="2:12" ht="15.6">
      <c r="B127" s="52" t="s">
        <v>316</v>
      </c>
      <c r="C127" s="48"/>
      <c r="D127" s="62">
        <f>J101*2+(MIN('PC-B4-7_DDR1 (2)'!D8:D9)-'PC-B4-7_DDR1 (2)'!D14-'PC-B4-7_DDR1 (2)'!D14-'PC-B4-7_DDR1 (2)'!D21)*2</f>
        <v>4046</v>
      </c>
      <c r="E127" t="s">
        <v>2</v>
      </c>
      <c r="F127" s="55" t="s">
        <v>179</v>
      </c>
      <c r="H127" s="52" t="s">
        <v>322</v>
      </c>
      <c r="I127" s="33"/>
      <c r="J127" s="62">
        <f>D101*2+(MIN('PC-B4-7_DDR1 (2)'!D8:D9)-'PC-B4-7_DDR1 (2)'!D13-'PC-B4-7_DDR1 (2)'!D14-'PC-B4-7_DDR1 (2)'!D21)*2</f>
        <v>4076</v>
      </c>
      <c r="K127" s="50" t="s">
        <v>2</v>
      </c>
      <c r="L127" s="55" t="s">
        <v>179</v>
      </c>
    </row>
    <row r="128" spans="2:12" ht="15.6">
      <c r="B128" s="53"/>
      <c r="C128" s="54" t="s">
        <v>136</v>
      </c>
      <c r="D128" s="58" t="str">
        <f>IF(D126*1000/(D121*D122)&gt;=SQRT((('PC-B4-7_DDR1 (2)'!D36*1000/(D121*D122))^2)+(('PC-B4-7_DDR1 (2)'!D37*1000000*D127)/(1.7*J103^2))^2),"Pass","Fail")</f>
        <v>Pass</v>
      </c>
      <c r="E128" s="10"/>
      <c r="F128" s="55" t="s">
        <v>179</v>
      </c>
      <c r="H128" s="53"/>
      <c r="I128" s="54" t="s">
        <v>136</v>
      </c>
      <c r="J128" s="58" t="str">
        <f>IF(J126*1000/(J121*J122)&gt;=SQRT((('PC-B4-7_DDR1 (2)'!D36*1000/(J121*J122))^2)+(('PC-B4-7_DDR1 (2)'!D37*1000000*J127)/(1.7*D103^2))^2),"Pass","Fail")</f>
        <v>Pass</v>
      </c>
      <c r="K128" s="10"/>
      <c r="L128" s="55" t="s">
        <v>179</v>
      </c>
    </row>
    <row r="129" spans="2:12" ht="15.6">
      <c r="B129" s="8" t="s">
        <v>138</v>
      </c>
      <c r="C129" s="5" t="s">
        <v>139</v>
      </c>
      <c r="D129" s="56">
        <f>IF(D149="Simplified Method",0.15,D158)</f>
        <v>0.19769158592785752</v>
      </c>
      <c r="E129" s="10"/>
      <c r="F129" s="11" t="s">
        <v>140</v>
      </c>
      <c r="H129" s="8" t="s">
        <v>138</v>
      </c>
      <c r="I129" s="5" t="s">
        <v>139</v>
      </c>
      <c r="J129" s="56">
        <f>IF(J149="Simplified Method",0.15,J158)</f>
        <v>0.19761347716028385</v>
      </c>
      <c r="K129" s="10"/>
      <c r="L129" s="11" t="s">
        <v>140</v>
      </c>
    </row>
    <row r="130" spans="2:12" ht="15.6">
      <c r="B130" s="8" t="s">
        <v>77</v>
      </c>
      <c r="C130" s="5" t="s">
        <v>78</v>
      </c>
      <c r="D130" s="61">
        <f>D129*D121*D122*SQRT('PC-B4-7_DDR1 (2)'!D23)*10^-3*IF(J125="Pass",0.75,0.7)</f>
        <v>959.79387698277901</v>
      </c>
      <c r="E130" s="10" t="s">
        <v>46</v>
      </c>
      <c r="F130" s="11" t="s">
        <v>142</v>
      </c>
      <c r="H130" s="8" t="s">
        <v>77</v>
      </c>
      <c r="I130" s="5" t="s">
        <v>78</v>
      </c>
      <c r="J130" s="61">
        <f>J129*J121*J122*SQRT('PC-B4-7_DDR1 (2)'!D23)*10^-3*IF(J125="Pass",0.75,0.7)</f>
        <v>959.41465843129617</v>
      </c>
      <c r="K130" s="10" t="s">
        <v>46</v>
      </c>
      <c r="L130" s="11" t="s">
        <v>142</v>
      </c>
    </row>
    <row r="131" spans="2:12" ht="15.6">
      <c r="B131" s="8" t="s">
        <v>86</v>
      </c>
      <c r="C131" s="5" t="s">
        <v>87</v>
      </c>
      <c r="D131" s="61">
        <f>((D124*'PC-B4-7_DDR1 (2)'!D26*D122/'PC-B4-7_DDR1 (2)'!D19)*_xlfn.COT(RADIANS(J102)))*10^-3*IF(J125="Pass",0.75,0.7)</f>
        <v>1368.5759525405547</v>
      </c>
      <c r="E131" s="10" t="s">
        <v>46</v>
      </c>
      <c r="F131" s="11" t="s">
        <v>88</v>
      </c>
      <c r="H131" s="8" t="s">
        <v>86</v>
      </c>
      <c r="I131" s="5" t="s">
        <v>87</v>
      </c>
      <c r="J131" s="61">
        <f>((J124*'PC-B4-7_DDR1 (2)'!D26*J122/'PC-B4-7_DDR1 (2)'!D19)*_xlfn.COT(RADIANS(D102)))*10^-3*IF(J125="Pass",0.75,0.7)</f>
        <v>1368.7688741119109</v>
      </c>
      <c r="K131" s="10" t="s">
        <v>46</v>
      </c>
      <c r="L131" s="11" t="s">
        <v>88</v>
      </c>
    </row>
    <row r="132" spans="2:12" ht="15.6">
      <c r="B132" s="8" t="s">
        <v>89</v>
      </c>
      <c r="C132" s="15" t="s">
        <v>90</v>
      </c>
      <c r="D132" s="72">
        <f>(D130+D131)</f>
        <v>2328.3698295233335</v>
      </c>
      <c r="E132" s="10" t="s">
        <v>46</v>
      </c>
      <c r="F132" s="11" t="s">
        <v>91</v>
      </c>
      <c r="H132" s="8" t="s">
        <v>89</v>
      </c>
      <c r="I132" s="15" t="s">
        <v>90</v>
      </c>
      <c r="J132" s="72">
        <f>(J130+J131)</f>
        <v>2328.1835325432071</v>
      </c>
      <c r="K132" s="10" t="s">
        <v>46</v>
      </c>
      <c r="L132" s="11" t="s">
        <v>91</v>
      </c>
    </row>
    <row r="133" spans="2:12" ht="15.6">
      <c r="B133" s="8" t="s">
        <v>143</v>
      </c>
      <c r="C133" s="5" t="s">
        <v>52</v>
      </c>
      <c r="D133" s="57" t="str">
        <f>IF(D132&gt;D120,"Pass","Fail")</f>
        <v>Pass</v>
      </c>
      <c r="E133" s="10"/>
      <c r="F133" s="14"/>
      <c r="H133" s="8" t="s">
        <v>143</v>
      </c>
      <c r="I133" s="5" t="s">
        <v>52</v>
      </c>
      <c r="J133" s="57" t="str">
        <f>IF(J132&gt;J120,"Pass","Fail")</f>
        <v>Pass</v>
      </c>
      <c r="K133" s="10"/>
      <c r="L133" s="14"/>
    </row>
    <row r="134" spans="2:12" ht="15.6">
      <c r="B134" s="8" t="s">
        <v>203</v>
      </c>
      <c r="C134" s="5" t="s">
        <v>204</v>
      </c>
      <c r="D134" s="61">
        <f>0.5*(D36+D130)*_xlfn.COT(RADIANS(J102))+0.5*D37*(D127/(2*D119))*10^-3*_xlfn.COT(RADIANS(D102))</f>
        <v>1248.1260432172055</v>
      </c>
      <c r="E134" s="10" t="s">
        <v>46</v>
      </c>
      <c r="F134" s="11" t="s">
        <v>205</v>
      </c>
      <c r="H134" s="8" t="s">
        <v>203</v>
      </c>
      <c r="I134" s="5" t="s">
        <v>204</v>
      </c>
      <c r="J134" s="61">
        <f>0.5*(D36+J130)*_xlfn.COT(RADIANS(D102))+0.5*D37*(J127/(2*J119))*10^-3*_xlfn.COT(RADIANS(D102))</f>
        <v>1248.0184941376976</v>
      </c>
      <c r="K134" s="10" t="s">
        <v>46</v>
      </c>
      <c r="L134" s="11" t="s">
        <v>205</v>
      </c>
    </row>
    <row r="135" spans="2:12" ht="15.6">
      <c r="B135" s="8" t="s">
        <v>206</v>
      </c>
      <c r="C135" s="5" t="s">
        <v>207</v>
      </c>
      <c r="D135" s="61">
        <f>(J55*'PC-B4-7_DDR1 (2)'!D54*'PC-B4-7_DDR1 (2)'!J53)+('PC-B4-7_DDR1 (2)'!J53-J55*'PC-B4-7_DDR1 (2)'!J53)</f>
        <v>668.07821823912582</v>
      </c>
      <c r="E135" s="10" t="s">
        <v>2</v>
      </c>
      <c r="F135" s="11" t="s">
        <v>208</v>
      </c>
      <c r="H135" s="8" t="s">
        <v>206</v>
      </c>
      <c r="I135" s="5" t="s">
        <v>207</v>
      </c>
      <c r="J135" s="61">
        <f>('PC-B4-7_DDR1 (2)'!J55*'PC-B4-7_DDR1 (2)'!D54*'PC-B4-7_DDR1 (2)'!D50)+('PC-B4-7_DDR1 (2)'!D50-'PC-B4-7_DDR1 (2)'!J55*'PC-B4-7_DDR1 (2)'!D50)</f>
        <v>653.62025860184986</v>
      </c>
      <c r="K135" s="10" t="s">
        <v>2</v>
      </c>
      <c r="L135" s="11" t="s">
        <v>208</v>
      </c>
    </row>
    <row r="136" spans="2:12" ht="15.6">
      <c r="B136" s="8" t="s">
        <v>209</v>
      </c>
      <c r="C136" s="5" t="s">
        <v>210</v>
      </c>
      <c r="D136" s="61">
        <f>(D34/(D135/1000))+(-'PC-B4-7_DDR1 (2)'!D35/2)+D134</f>
        <v>4439.3508675629928</v>
      </c>
      <c r="E136" s="10" t="s">
        <v>46</v>
      </c>
      <c r="F136" s="11" t="s">
        <v>211</v>
      </c>
      <c r="H136" s="8" t="s">
        <v>209</v>
      </c>
      <c r="I136" s="5" t="s">
        <v>210</v>
      </c>
      <c r="J136" s="61">
        <f>(D33/(J135/1000))+(-'PC-B4-7_DDR1 (2)'!D35/2)+J134</f>
        <v>3908.123633092765</v>
      </c>
      <c r="K136" s="10" t="s">
        <v>46</v>
      </c>
      <c r="L136" s="11" t="s">
        <v>211</v>
      </c>
    </row>
    <row r="137" spans="2:12" ht="15.6">
      <c r="B137" s="8" t="s">
        <v>212</v>
      </c>
      <c r="C137" s="5" t="s">
        <v>213</v>
      </c>
      <c r="D137" s="56">
        <f>'PC-B4-7_DDR1 (2)'!D30+((0.85-'PC-B4-7_DDR1 (2)'!D30)*(D136/('PC-B4-7_DDR1 (2)'!D52*'PC-B4-7_DDR1 (2)'!D25*10^-3)))</f>
        <v>0.82720190482575362</v>
      </c>
      <c r="E137" s="10"/>
      <c r="F137" s="11" t="s">
        <v>214</v>
      </c>
      <c r="H137" s="8" t="s">
        <v>212</v>
      </c>
      <c r="I137" s="5" t="s">
        <v>213</v>
      </c>
      <c r="J137" s="56">
        <f>'PC-B4-7_DDR1 (2)'!D30+((0.85-'PC-B4-7_DDR1 (2)'!D30)*(J136/('PC-B4-7_DDR1 (2)'!D51*'PC-B4-7_DDR1 (2)'!D25*10^-3)))</f>
        <v>0.82394683598708807</v>
      </c>
      <c r="K137" s="10"/>
      <c r="L137" s="11" t="s">
        <v>214</v>
      </c>
    </row>
    <row r="138" spans="2:12" ht="15.6">
      <c r="B138" s="8" t="s">
        <v>215</v>
      </c>
      <c r="C138" s="5" t="s">
        <v>55</v>
      </c>
      <c r="D138" s="61">
        <f>((D136*1000)/D137)/'PC-B4-7_DDR1 (2)'!D24</f>
        <v>10733.415485783056</v>
      </c>
      <c r="E138" s="10" t="s">
        <v>56</v>
      </c>
      <c r="F138" s="11" t="s">
        <v>211</v>
      </c>
      <c r="H138" s="8" t="s">
        <v>215</v>
      </c>
      <c r="I138" s="5" t="s">
        <v>55</v>
      </c>
      <c r="J138" s="61">
        <f>((J136*1000)/J137)/'PC-B4-7_DDR1 (2)'!D24</f>
        <v>9486.3490273879961</v>
      </c>
      <c r="K138" s="10" t="s">
        <v>56</v>
      </c>
      <c r="L138" s="11" t="s">
        <v>211</v>
      </c>
    </row>
    <row r="139" spans="2:12" ht="15.6">
      <c r="B139" s="8" t="s">
        <v>216</v>
      </c>
      <c r="C139" s="5"/>
      <c r="D139" s="58" t="str">
        <f>IF(D138&lt;D152,"Pass","Fail")</f>
        <v>Pass</v>
      </c>
      <c r="E139" s="114"/>
      <c r="F139" s="13"/>
      <c r="H139" s="8" t="s">
        <v>216</v>
      </c>
      <c r="I139" s="5"/>
      <c r="J139" s="58" t="str">
        <f>IF(J138&lt;J152,"Pass","Fail")</f>
        <v>Pass</v>
      </c>
      <c r="K139" s="114"/>
      <c r="L139" s="13"/>
    </row>
    <row r="140" spans="2:12" ht="15.6">
      <c r="B140" s="178" t="s">
        <v>228</v>
      </c>
      <c r="C140" s="179"/>
      <c r="D140" s="179"/>
      <c r="E140" s="179"/>
      <c r="F140" s="180"/>
      <c r="H140" s="178" t="s">
        <v>228</v>
      </c>
      <c r="I140" s="179"/>
      <c r="J140" s="179"/>
      <c r="K140" s="179"/>
      <c r="L140" s="180"/>
    </row>
    <row r="141" spans="2:12" ht="15.6">
      <c r="B141" s="8" t="s">
        <v>217</v>
      </c>
      <c r="C141" s="5" t="s">
        <v>218</v>
      </c>
      <c r="D141" s="61">
        <f>(-D154/(D135/1000))+('PC-B4-7_DDR1 (2)'!D35/2)+D134</f>
        <v>-1943.098781128582</v>
      </c>
      <c r="E141" s="10" t="s">
        <v>46</v>
      </c>
      <c r="F141" s="11" t="s">
        <v>219</v>
      </c>
      <c r="H141" s="8" t="s">
        <v>217</v>
      </c>
      <c r="I141" s="5" t="s">
        <v>218</v>
      </c>
      <c r="J141" s="61">
        <f>(-J154/(J135/1000))+('PC-B4-7_DDR1 (2)'!D35/2)+J134</f>
        <v>-2008.7633770138957</v>
      </c>
      <c r="K141" s="10" t="s">
        <v>46</v>
      </c>
      <c r="L141" s="11" t="s">
        <v>219</v>
      </c>
    </row>
    <row r="142" spans="2:12" ht="15.6">
      <c r="B142" s="8" t="s">
        <v>212</v>
      </c>
      <c r="C142" s="5" t="s">
        <v>213</v>
      </c>
      <c r="D142" s="56">
        <f>'PC-B4-7_DDR1 (2)'!D30</f>
        <v>0.8</v>
      </c>
      <c r="F142" s="11" t="s">
        <v>214</v>
      </c>
      <c r="H142" s="8" t="s">
        <v>212</v>
      </c>
      <c r="I142" s="5" t="s">
        <v>213</v>
      </c>
      <c r="J142" s="56">
        <f>'PC-B4-7_DDR1 (2)'!D30</f>
        <v>0.8</v>
      </c>
      <c r="L142" s="11" t="s">
        <v>214</v>
      </c>
    </row>
    <row r="143" spans="2:12" ht="15.6">
      <c r="B143" s="8" t="s">
        <v>220</v>
      </c>
      <c r="C143" s="5" t="s">
        <v>221</v>
      </c>
      <c r="D143" s="61">
        <f>(D141*1000)/D142/'PC-B4-7_DDR1 (2)'!D24</f>
        <v>-4857.7469528214551</v>
      </c>
      <c r="E143" s="10" t="s">
        <v>56</v>
      </c>
      <c r="F143" s="11" t="s">
        <v>219</v>
      </c>
      <c r="H143" s="8" t="s">
        <v>220</v>
      </c>
      <c r="I143" s="5" t="s">
        <v>221</v>
      </c>
      <c r="J143" s="61">
        <f>(J141*1000)/J142/'PC-B4-7_DDR1 (2)'!D24</f>
        <v>-5021.9084425347392</v>
      </c>
      <c r="K143" s="10" t="s">
        <v>56</v>
      </c>
      <c r="L143" s="11" t="s">
        <v>219</v>
      </c>
    </row>
    <row r="144" spans="2:12" ht="16.2" thickBot="1">
      <c r="B144" s="38" t="s">
        <v>216</v>
      </c>
      <c r="C144" s="39"/>
      <c r="D144" s="115" t="str">
        <f>IF(J143&lt;(SUM('PC-B4-7_DDR1 (2)'!H34:H38)*(ROUND(PI()*'PC-B4-7_DDR1 (2)'!D16^2*0.25,-1))),"Pass","Fail")</f>
        <v>Pass</v>
      </c>
      <c r="E144" s="116"/>
      <c r="F144" s="47"/>
      <c r="H144" s="38" t="s">
        <v>216</v>
      </c>
      <c r="I144" s="39"/>
      <c r="J144" s="115" t="str">
        <f>IF(J143&lt;(SUM('PC-B4-7_DDR1 (2)'!H27:H31)*(ROUND(PI()*'PC-B4-7_DDR1 (2)'!D15^2*0.25,-1))),"Pass","Fail")</f>
        <v>Pass</v>
      </c>
      <c r="K144" s="116"/>
      <c r="L144" s="47"/>
    </row>
    <row r="145" spans="2:12" ht="15" thickBot="1"/>
    <row r="146" spans="2:12" ht="18.600000000000001" thickBot="1">
      <c r="B146" s="1" t="s">
        <v>180</v>
      </c>
      <c r="F146" s="19"/>
      <c r="L146" s="19"/>
    </row>
    <row r="147" spans="2:12" ht="15" thickBot="1"/>
    <row r="148" spans="2:12">
      <c r="B148" s="106"/>
      <c r="C148" s="6"/>
      <c r="D148" s="6"/>
      <c r="E148" s="6"/>
      <c r="F148" s="7"/>
      <c r="H148" s="106"/>
      <c r="I148" s="6"/>
      <c r="J148" s="6"/>
      <c r="K148" s="6"/>
      <c r="L148" s="7"/>
    </row>
    <row r="149" spans="2:12" ht="15.6">
      <c r="B149" s="8" t="s">
        <v>181</v>
      </c>
      <c r="D149" s="181" t="s">
        <v>321</v>
      </c>
      <c r="E149" s="181"/>
      <c r="F149" s="107" t="str">
        <f>IF(D149="Simplified Method","[cl.8.2.4.3]","[cl.8.2.4.2]")</f>
        <v>[cl.8.2.4.2]</v>
      </c>
      <c r="H149" s="8" t="s">
        <v>181</v>
      </c>
      <c r="J149" s="181" t="s">
        <v>321</v>
      </c>
      <c r="K149" s="181"/>
      <c r="L149" s="107" t="str">
        <f>IF(J149="Simplified Method","[cl.8.2.4.3]","[cl.8.2.4.2]")</f>
        <v>[cl.8.2.4.2]</v>
      </c>
    </row>
    <row r="150" spans="2:12" ht="15.6">
      <c r="B150" s="8" t="s">
        <v>182</v>
      </c>
      <c r="C150" s="108" t="s">
        <v>183</v>
      </c>
      <c r="D150" s="70">
        <f>IF('PC-B4-7_DDR1 (2)'!D23&lt;=65,IF('PC-B4-7_DDR1 (2)'!D28&gt;=16,1,MAX(32/(16+'PC-B4-7_DDR1 (2)'!D28),0.8)),2)</f>
        <v>1</v>
      </c>
      <c r="E150" s="70"/>
      <c r="F150" s="11" t="s">
        <v>184</v>
      </c>
      <c r="H150" s="8" t="s">
        <v>182</v>
      </c>
      <c r="I150" s="108" t="s">
        <v>183</v>
      </c>
      <c r="J150" s="70">
        <f>IF('PC-B4-7_DDR1 (2)'!D23&lt;=65,IF('PC-B4-7_DDR1 (2)'!D28&gt;=16,1,MAX(32/(16+'PC-B4-7_DDR1 (2)'!D28),0.8)),2)</f>
        <v>1</v>
      </c>
      <c r="K150" s="70"/>
      <c r="L150" s="11" t="s">
        <v>184</v>
      </c>
    </row>
    <row r="151" spans="2:12" ht="15.6">
      <c r="B151" s="8" t="s">
        <v>185</v>
      </c>
      <c r="C151" s="108"/>
      <c r="D151" s="57" t="str">
        <f>IF(J99="Fail","Yes","No")</f>
        <v>Yes</v>
      </c>
      <c r="E151" s="70"/>
      <c r="F151" s="13"/>
      <c r="H151" s="8" t="s">
        <v>185</v>
      </c>
      <c r="I151" s="108"/>
      <c r="J151" s="57" t="str">
        <f>IF(D99="Fail","Yes","No")</f>
        <v>Yes</v>
      </c>
      <c r="K151" s="70"/>
      <c r="L151" s="13"/>
    </row>
    <row r="152" spans="2:12" ht="15.6">
      <c r="B152" s="8" t="s">
        <v>186</v>
      </c>
      <c r="C152" s="108" t="s">
        <v>55</v>
      </c>
      <c r="D152" s="71">
        <f>'PC-B4-7_DDR1 (2)'!D52</f>
        <v>16320</v>
      </c>
      <c r="E152" s="70" t="s">
        <v>56</v>
      </c>
      <c r="F152" s="11" t="s">
        <v>187</v>
      </c>
      <c r="H152" s="8" t="s">
        <v>186</v>
      </c>
      <c r="I152" s="108" t="s">
        <v>55</v>
      </c>
      <c r="J152" s="71">
        <f>'PC-B4-7_DDR1 (2)'!D51</f>
        <v>16320</v>
      </c>
      <c r="K152" s="70" t="s">
        <v>56</v>
      </c>
      <c r="L152" s="11" t="s">
        <v>187</v>
      </c>
    </row>
    <row r="153" spans="2:12" ht="15.6">
      <c r="B153" s="8" t="s">
        <v>188</v>
      </c>
      <c r="C153" s="108" t="s">
        <v>189</v>
      </c>
      <c r="D153" s="70">
        <f>J96/2-'PC-B4-7_DDR1 (2)'!D52</f>
        <v>583680</v>
      </c>
      <c r="E153" s="70" t="s">
        <v>56</v>
      </c>
      <c r="F153" s="11" t="s">
        <v>187</v>
      </c>
      <c r="H153" s="8" t="s">
        <v>188</v>
      </c>
      <c r="I153" s="108" t="s">
        <v>189</v>
      </c>
      <c r="J153" s="70">
        <f>D96/2-'PC-B4-7_DDR1 (2)'!D51</f>
        <v>583680</v>
      </c>
      <c r="K153" s="70" t="s">
        <v>56</v>
      </c>
      <c r="L153" s="11" t="s">
        <v>187</v>
      </c>
    </row>
    <row r="154" spans="2:12" ht="15.6">
      <c r="B154" s="8" t="s">
        <v>190</v>
      </c>
      <c r="C154" s="108" t="s">
        <v>191</v>
      </c>
      <c r="D154" s="118">
        <f>IF(D151="Yes",IF('PC-B4-7_DDR1 (2)'!J34&gt;=(D122/1000)*SQRT(('PC-B4-7_DDR1 (2)'!D36^2)+((0.9*'PC-B4-7_DDR1 (2)'!D37*D127/1000)/(2*D119/1000000))^2),'PC-B4-7_DDR1 (2)'!D34,(D122/1000)*SQRT(('PC-B4-7_DDR1 (2)'!D36^2)+((0.9*'PC-B4-7_DDR1 (2)'!D37*D127/1000)/(2*D119/1000000))^2)),IF('PC-B4-7_DDR1 (2)'!D34&gt;=('PC-B4-7_DDR1 (2)'!D36*D122/1000),'PC-B4-7_DDR1 (2)'!D34,('PC-B4-7_DDR1 (2)'!D36*D122/1000)))</f>
        <v>1980</v>
      </c>
      <c r="E154" s="70" t="s">
        <v>192</v>
      </c>
      <c r="F154" s="11" t="s">
        <v>187</v>
      </c>
      <c r="H154" s="8" t="s">
        <v>190</v>
      </c>
      <c r="I154" s="108" t="s">
        <v>191</v>
      </c>
      <c r="J154" s="118">
        <f>IF(J151="Yes",IF('PC-B4-7_DDR1 (2)'!D34&gt;=(J122/1000)*SQRT(('PC-B4-7_DDR1 (2)'!D36^2)+((0.9*'PC-B4-7_DDR1 (2)'!D37*J127/1000)/(2*J119/1000000))^2),'PC-B4-7_DDR1 (2)'!D34,(J122/1000)*SQRT(('PC-B4-7_DDR1 (2)'!D36^2)+((0.9*'PC-B4-7_DDR1 (2)'!D37*J127/1000)/(2*J119/1000000))^2)),IF('PC-B4-7_DDR1 (2)'!D34&gt;=('PC-B4-7_DDR1 (2)'!D36*J122/1000),'PC-B4-7_DDR1 (2)'!D34,('PC-B4-7_DDR1 (2)'!D36*J122/1000)))</f>
        <v>1980</v>
      </c>
      <c r="K154" s="70" t="s">
        <v>192</v>
      </c>
      <c r="L154" s="11" t="s">
        <v>187</v>
      </c>
    </row>
    <row r="155" spans="2:12" ht="15.6">
      <c r="B155" s="8" t="s">
        <v>193</v>
      </c>
      <c r="C155" s="108" t="s">
        <v>194</v>
      </c>
      <c r="D155" s="70">
        <f>IF(D151="Yes",ABS(D154/(D122/1000))+SQRT((ABS('PC-B4-7_DDR1 (2)'!D36)^2)+((0.9*'PC-B4-7_DDR1 (2)'!D37*D127/1000)/(2*D119/1000000))^2)+0.5*(-1*'PC-B4-7_DDR1 (2)'!D35),ABS(D154/(D122/1000))+ABS('PC-B4-7_DDR1 (2)'!D36)+0.5*(-1*'PC-B4-7_DDR1 (2)'!D35))</f>
        <v>4453.6352617620287</v>
      </c>
      <c r="E155" s="70" t="s">
        <v>46</v>
      </c>
      <c r="F155" s="11" t="s">
        <v>187</v>
      </c>
      <c r="H155" s="8" t="s">
        <v>193</v>
      </c>
      <c r="I155" s="108" t="s">
        <v>194</v>
      </c>
      <c r="J155" s="117">
        <f>IF(J151="Yes",ABS(J154/(J122/1000))+SQRT((ABS('PC-B4-7_DDR1 (2)'!D36)^2)+((0.9*'PC-B4-7_DDR1 (2)'!D37*J127/1000)/(2*J119/1000000))^2)+0.5*(-1*'PC-B4-7_DDR1 (2)'!D35),ABS(J154/(J122/1000))+ABS('PC-B4-7_DDR1 (2)'!D36)+0.5*(-1*'PC-B4-7_DDR1 (2)'!D35))</f>
        <v>4457.1157800337742</v>
      </c>
      <c r="K155" s="70" t="s">
        <v>46</v>
      </c>
      <c r="L155" s="11" t="s">
        <v>187</v>
      </c>
    </row>
    <row r="156" spans="2:12" ht="15.6">
      <c r="B156" s="8" t="s">
        <v>195</v>
      </c>
      <c r="C156" s="108" t="s">
        <v>196</v>
      </c>
      <c r="D156" s="109">
        <f>MIN(D155*1000/(2*('PC-B4-7_DDR1 (2)'!D27*'PC-B4-7_DDR1 (2)'!D52)),3*10^-3)</f>
        <v>6.8223579377482051E-4</v>
      </c>
      <c r="E156" s="70" t="s">
        <v>197</v>
      </c>
      <c r="F156" s="11" t="s">
        <v>187</v>
      </c>
      <c r="H156" s="8" t="s">
        <v>195</v>
      </c>
      <c r="I156" s="108" t="s">
        <v>196</v>
      </c>
      <c r="J156" s="109">
        <f>MIN(J155*1000/(2*('PC-B4-7_DDR1 (2)'!D27*'PC-B4-7_DDR1 (2)'!D51)),3*10^-3)</f>
        <v>6.827689614022325E-4</v>
      </c>
      <c r="K156" s="70" t="s">
        <v>197</v>
      </c>
      <c r="L156" s="11" t="s">
        <v>187</v>
      </c>
    </row>
    <row r="157" spans="2:12" ht="15.6">
      <c r="B157" s="8" t="s">
        <v>198</v>
      </c>
      <c r="C157" s="108" t="s">
        <v>196</v>
      </c>
      <c r="D157" s="109">
        <f>IF(D156&lt;0,MAX(D155*1000/(2*('PC-B4-7_DDR1 (2)'!D27*D152+J169*D153)),-0.2*10^-3),D156)</f>
        <v>6.8223579377482051E-4</v>
      </c>
      <c r="E157" s="70" t="s">
        <v>197</v>
      </c>
      <c r="F157" s="11" t="s">
        <v>187</v>
      </c>
      <c r="H157" s="8" t="s">
        <v>198</v>
      </c>
      <c r="I157" s="108" t="s">
        <v>196</v>
      </c>
      <c r="J157" s="109">
        <f>IF(J156&lt;0,MAX(J155*1000/(2*('PC-B4-7_DDR1 (2)'!D27*J152+D169*J153)),-0.2*10^-3),J156)</f>
        <v>6.827689614022325E-4</v>
      </c>
      <c r="K157" s="70" t="s">
        <v>197</v>
      </c>
      <c r="L157" s="11" t="s">
        <v>187</v>
      </c>
    </row>
    <row r="158" spans="2:12" ht="15.6">
      <c r="B158" s="8" t="s">
        <v>199</v>
      </c>
      <c r="C158" s="108" t="s">
        <v>139</v>
      </c>
      <c r="D158" s="110">
        <f>IF(D125="Pass",(0.4/(1+1500*D157)),(0.4/(1+1500*D157))*(1300/(1000+D150*D122)))</f>
        <v>0.19769158592785752</v>
      </c>
      <c r="E158" s="70"/>
      <c r="F158" s="11" t="str">
        <f>F149</f>
        <v>[cl.8.2.4.2]</v>
      </c>
      <c r="H158" s="8" t="s">
        <v>199</v>
      </c>
      <c r="I158" s="108" t="s">
        <v>139</v>
      </c>
      <c r="J158" s="110">
        <f>IF(J125="Pass",(0.4/(1+1500*J157)),(0.4/(1+1500*J157))*(1300/(1000+J150*J122)))</f>
        <v>0.19761347716028385</v>
      </c>
      <c r="K158" s="70"/>
      <c r="L158" s="11" t="str">
        <f>L149</f>
        <v>[cl.8.2.4.2]</v>
      </c>
    </row>
    <row r="159" spans="2:12" ht="16.2" thickBot="1">
      <c r="B159" s="38" t="s">
        <v>200</v>
      </c>
      <c r="C159" s="111" t="s">
        <v>201</v>
      </c>
      <c r="D159" s="112">
        <f>(29+7000*D157)</f>
        <v>33.775650556423741</v>
      </c>
      <c r="E159" s="113" t="s">
        <v>202</v>
      </c>
      <c r="F159" s="43" t="str">
        <f>F158</f>
        <v>[cl.8.2.4.2]</v>
      </c>
      <c r="H159" s="38" t="s">
        <v>200</v>
      </c>
      <c r="I159" s="111" t="s">
        <v>201</v>
      </c>
      <c r="J159" s="112">
        <f>(29+7000*J157)</f>
        <v>33.77938272981563</v>
      </c>
      <c r="K159" s="113" t="s">
        <v>202</v>
      </c>
      <c r="L159" s="43" t="str">
        <f>L158</f>
        <v>[cl.8.2.4.2]</v>
      </c>
    </row>
    <row r="160" spans="2:12" ht="15" thickBot="1"/>
    <row r="161" spans="2:12" ht="18.600000000000001" thickBot="1">
      <c r="B161" s="176" t="s">
        <v>164</v>
      </c>
      <c r="C161" s="177"/>
    </row>
    <row r="162" spans="2:12" ht="15" thickBot="1"/>
    <row r="163" spans="2:12" ht="15.6">
      <c r="B163" s="37" t="s">
        <v>99</v>
      </c>
      <c r="C163" s="6"/>
      <c r="D163" s="6"/>
      <c r="E163" s="6"/>
      <c r="F163" s="7"/>
    </row>
    <row r="164" spans="2:12">
      <c r="B164" s="44" t="s">
        <v>100</v>
      </c>
      <c r="F164" s="13"/>
    </row>
    <row r="165" spans="2:12">
      <c r="B165" s="44" t="s">
        <v>109</v>
      </c>
      <c r="F165" s="13"/>
    </row>
    <row r="166" spans="2:12" ht="15" thickBot="1">
      <c r="B166" s="122" t="s">
        <v>315</v>
      </c>
      <c r="C166" s="46"/>
      <c r="D166" s="46"/>
      <c r="E166" s="46"/>
      <c r="F166" s="47"/>
    </row>
    <row r="167" spans="2:12" ht="15" thickBot="1"/>
    <row r="168" spans="2:12" ht="15.6">
      <c r="B168" s="37" t="s">
        <v>172</v>
      </c>
      <c r="C168" s="21"/>
      <c r="D168" s="21"/>
      <c r="E168" s="21"/>
      <c r="F168" s="22"/>
      <c r="H168" s="37" t="s">
        <v>173</v>
      </c>
      <c r="I168" s="21"/>
      <c r="J168" s="21"/>
      <c r="K168" s="21"/>
      <c r="L168" s="22"/>
    </row>
    <row r="169" spans="2:12" ht="15.6">
      <c r="B169" s="80" t="s">
        <v>146</v>
      </c>
      <c r="C169" s="5" t="s">
        <v>147</v>
      </c>
      <c r="D169" s="73">
        <f>(('PC-B4-7_DDR1 (2)'!$D$10*100)^1.5)*0.043*SQRT('PC-B4-7_DDR1 (2)'!D23)</f>
        <v>38006.989488776897</v>
      </c>
      <c r="E169" s="10"/>
      <c r="F169" s="11"/>
      <c r="H169" s="80" t="s">
        <v>146</v>
      </c>
      <c r="I169" s="5" t="s">
        <v>147</v>
      </c>
      <c r="J169" s="73">
        <f>(('PC-B4-7_DDR1 (2)'!$D$10*100)^1.5)*0.043*SQRT('PC-B4-7_DDR1 (2)'!D23)</f>
        <v>38006.989488776897</v>
      </c>
      <c r="K169" s="10"/>
      <c r="L169" s="11"/>
    </row>
    <row r="170" spans="2:12" ht="15.6">
      <c r="B170" s="8" t="s">
        <v>148</v>
      </c>
      <c r="C170" s="5" t="s">
        <v>149</v>
      </c>
      <c r="D170" s="42">
        <f>0.6*'PC-B4-7_DDR1 (2)'!D23</f>
        <v>30</v>
      </c>
      <c r="E170" s="10" t="s">
        <v>25</v>
      </c>
      <c r="F170" s="11" t="s">
        <v>150</v>
      </c>
      <c r="G170" t="s">
        <v>336</v>
      </c>
      <c r="H170" s="8" t="s">
        <v>148</v>
      </c>
      <c r="I170" s="5" t="s">
        <v>149</v>
      </c>
      <c r="J170" s="42">
        <f>0.6*'PC-B4-7_DDR1 (2)'!D23</f>
        <v>30</v>
      </c>
      <c r="K170" s="10" t="s">
        <v>25</v>
      </c>
      <c r="L170" s="11" t="s">
        <v>150</v>
      </c>
    </row>
    <row r="171" spans="2:12" ht="15.6">
      <c r="B171" s="8" t="s">
        <v>151</v>
      </c>
      <c r="C171" s="5" t="s">
        <v>152</v>
      </c>
      <c r="D171" s="42">
        <f>J22</f>
        <v>150</v>
      </c>
      <c r="E171" s="10" t="s">
        <v>25</v>
      </c>
      <c r="F171" s="11"/>
      <c r="H171" s="8" t="s">
        <v>151</v>
      </c>
      <c r="I171" s="5" t="s">
        <v>152</v>
      </c>
      <c r="J171" s="42">
        <f>J23</f>
        <v>150</v>
      </c>
      <c r="K171" s="10" t="s">
        <v>25</v>
      </c>
      <c r="L171" s="11"/>
    </row>
    <row r="172" spans="2:12" ht="15.6">
      <c r="B172" s="8" t="s">
        <v>163</v>
      </c>
      <c r="C172" s="5" t="s">
        <v>153</v>
      </c>
      <c r="D172" s="124">
        <f>'PC-B4-7_DDR1 (2)'!D27/D169</f>
        <v>5.2621899995278003</v>
      </c>
      <c r="E172" s="75"/>
      <c r="F172" s="14"/>
      <c r="H172" s="8" t="s">
        <v>163</v>
      </c>
      <c r="I172" s="5" t="s">
        <v>153</v>
      </c>
      <c r="J172" s="124">
        <f>'PC-B4-7_DDR1 (2)'!D27/J169</f>
        <v>5.2621899995278003</v>
      </c>
      <c r="K172" s="75"/>
      <c r="L172" s="14"/>
    </row>
    <row r="173" spans="2:12" ht="15.6">
      <c r="B173" s="8" t="s">
        <v>162</v>
      </c>
      <c r="C173" s="5" t="s">
        <v>154</v>
      </c>
      <c r="D173" s="123">
        <f>'PC-B4-7_DDR1 (2)'!D52/('PC-B4-7_DDR1 (2)'!D8*'PC-B4-7_DDR1 (2)'!D9)</f>
        <v>1.3599999999999999E-2</v>
      </c>
      <c r="E173" s="76"/>
      <c r="F173" s="14"/>
      <c r="H173" s="8" t="s">
        <v>162</v>
      </c>
      <c r="I173" s="5" t="s">
        <v>154</v>
      </c>
      <c r="J173" s="123">
        <f>'PC-B4-7_DDR1 (2)'!D51/('PC-B4-7_DDR1 (2)'!D8*'PC-B4-7_DDR1 (2)'!D9)</f>
        <v>1.3599999999999999E-2</v>
      </c>
      <c r="K173" s="76"/>
      <c r="L173" s="14"/>
    </row>
    <row r="174" spans="2:12" ht="15.6">
      <c r="B174" s="8" t="s">
        <v>161</v>
      </c>
      <c r="C174" s="5" t="s">
        <v>155</v>
      </c>
      <c r="D174" s="124">
        <f>SQRT((D172*D173)^2+2*D173*D172)-D172*D173</f>
        <v>0.31347087585295086</v>
      </c>
      <c r="E174" s="75"/>
      <c r="F174" s="14"/>
      <c r="H174" s="8" t="s">
        <v>161</v>
      </c>
      <c r="I174" s="5" t="s">
        <v>155</v>
      </c>
      <c r="J174" s="124">
        <f>SQRT((J173*J172)^2+J173*J172*2)-J172*J173</f>
        <v>0.31347087585295086</v>
      </c>
      <c r="K174" s="75"/>
      <c r="L174" s="14"/>
    </row>
    <row r="175" spans="2:12" ht="15.6">
      <c r="B175" s="8"/>
      <c r="C175" s="5" t="s">
        <v>156</v>
      </c>
      <c r="D175" s="124">
        <f>1-D174/3</f>
        <v>0.89550970804901642</v>
      </c>
      <c r="F175" s="14"/>
      <c r="H175" s="8"/>
      <c r="I175" s="5" t="s">
        <v>156</v>
      </c>
      <c r="J175" s="124">
        <f>1-J174/3</f>
        <v>0.89550970804901642</v>
      </c>
      <c r="L175" s="14"/>
    </row>
    <row r="176" spans="2:12" ht="15.6">
      <c r="B176" s="8"/>
      <c r="C176" s="5" t="s">
        <v>157</v>
      </c>
      <c r="D176" s="77">
        <f>2*'PC-B4-7_DDR1 (2)'!$D$38/(D175*('PC-B4-7_DDR1 (2)'!$D$50^2)*'PC-B4-7_DDR1 (2)'!$D$9*D174)*1000000</f>
        <v>11.000219156844356</v>
      </c>
      <c r="F176" s="14"/>
      <c r="H176" s="8"/>
      <c r="I176" s="5" t="s">
        <v>157</v>
      </c>
      <c r="J176" s="77">
        <f>2*'PC-B4-7_DDR1 (2)'!$D$38/(J175*('PC-B4-7_DDR1 (2)'!$D$50^2)*'PC-B4-7_DDR1 (2)'!$D$9*J174)*1000000</f>
        <v>11.000219156844356</v>
      </c>
      <c r="L176" s="14"/>
    </row>
    <row r="177" spans="2:12" ht="15.6">
      <c r="B177" s="8" t="s">
        <v>158</v>
      </c>
      <c r="C177" s="5" t="s">
        <v>52</v>
      </c>
      <c r="D177" s="78" t="str">
        <f>IF($D$170&gt;D176,"Pass","Fail")</f>
        <v>Pass</v>
      </c>
      <c r="F177" s="14"/>
      <c r="H177" s="8" t="s">
        <v>158</v>
      </c>
      <c r="I177" s="5" t="s">
        <v>52</v>
      </c>
      <c r="J177" s="78" t="str">
        <f>IF($J$170&gt;J176,"Pass","Fail")</f>
        <v>Pass</v>
      </c>
      <c r="L177" s="14"/>
    </row>
    <row r="178" spans="2:12" ht="15.6">
      <c r="B178" s="8"/>
      <c r="C178" s="5" t="s">
        <v>159</v>
      </c>
      <c r="D178" s="77">
        <f>'PC-B4-7_DDR1 (2)'!$D$39/('PC-B4-7_DDR1 (2)'!$D$52*D175*'PC-B4-7_DDR1 (2)'!$J$53)*1000000 + -1*D35*1000*0.5/D52</f>
        <v>142.27383432409115</v>
      </c>
      <c r="F178" s="14"/>
      <c r="H178" s="8"/>
      <c r="I178" s="5" t="s">
        <v>159</v>
      </c>
      <c r="J178" s="77">
        <f>'PC-B4-7_DDR1 (2)'!$D$38/('PC-B4-7_DDR1 (2)'!$D$51*J175*'PC-B4-7_DDR1 (2)'!$D$50)*1000000 + -1*D35*1000*0.5/D51</f>
        <v>121.40058522994389</v>
      </c>
      <c r="L178" s="14"/>
    </row>
    <row r="179" spans="2:12" ht="16.2" thickBot="1">
      <c r="B179" s="38" t="s">
        <v>160</v>
      </c>
      <c r="C179" s="39" t="s">
        <v>52</v>
      </c>
      <c r="D179" s="79" t="str">
        <f>IF($D$171&gt;D178,"Pass","Fail")</f>
        <v>Pass</v>
      </c>
      <c r="E179" s="46"/>
      <c r="F179" s="41"/>
      <c r="H179" s="38" t="s">
        <v>160</v>
      </c>
      <c r="I179" s="39" t="s">
        <v>52</v>
      </c>
      <c r="J179" s="79" t="str">
        <f>IF($J$171&gt;J178,"Pass","Fail")</f>
        <v>Pass</v>
      </c>
      <c r="K179" s="46"/>
      <c r="L179" s="41"/>
    </row>
  </sheetData>
  <mergeCells count="7">
    <mergeCell ref="B161:C161"/>
    <mergeCell ref="B1:F1"/>
    <mergeCell ref="B5:C5"/>
    <mergeCell ref="B140:F140"/>
    <mergeCell ref="H140:L140"/>
    <mergeCell ref="D149:E149"/>
    <mergeCell ref="J149:K149"/>
  </mergeCells>
  <conditionalFormatting sqref="L8:L19">
    <cfRule type="cellIs" dxfId="2" priority="1" operator="equal">
      <formula>"Fail"</formula>
    </cfRule>
  </conditionalFormatting>
  <dataValidations count="1">
    <dataValidation type="list" allowBlank="1" showInputMessage="1" showErrorMessage="1" sqref="F5" xr:uid="{07A26FF5-2111-4538-B1C6-43F21859A3D6}">
      <formula1>$R$7:$S$7</formula1>
    </dataValidation>
  </dataValidations>
  <pageMargins left="0.7" right="0.7" top="0.75" bottom="0.75" header="0.3" footer="0.3"/>
  <pageSetup paperSize="9" scale="35" fitToHeight="0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49B8E-D3FE-41B9-BDE2-4462E0E3E289}">
  <sheetPr codeName="Sheet15">
    <tabColor theme="4"/>
    <pageSetUpPr fitToPage="1"/>
  </sheetPr>
  <dimension ref="B1:Z179"/>
  <sheetViews>
    <sheetView topLeftCell="B1" zoomScale="70" zoomScaleNormal="70" workbookViewId="0">
      <selection activeCell="F5" sqref="F5"/>
    </sheetView>
  </sheetViews>
  <sheetFormatPr defaultRowHeight="14.4"/>
  <cols>
    <col min="2" max="2" width="40" customWidth="1"/>
    <col min="3" max="3" width="16.88671875" customWidth="1"/>
    <col min="4" max="4" width="12.33203125" bestFit="1" customWidth="1"/>
    <col min="5" max="5" width="11.88671875" customWidth="1"/>
    <col min="6" max="6" width="30.109375" customWidth="1"/>
    <col min="7" max="7" width="13.33203125" customWidth="1"/>
    <col min="8" max="8" width="43.44140625" customWidth="1"/>
    <col min="9" max="9" width="15.33203125" customWidth="1"/>
    <col min="10" max="10" width="13.33203125" bestFit="1" customWidth="1"/>
    <col min="11" max="11" width="10" bestFit="1" customWidth="1"/>
    <col min="12" max="12" width="28" customWidth="1"/>
  </cols>
  <sheetData>
    <row r="1" spans="2:20" ht="20.399999999999999" thickBot="1">
      <c r="B1" s="175" t="s">
        <v>326</v>
      </c>
      <c r="C1" s="175"/>
      <c r="D1" s="175"/>
      <c r="E1" s="175"/>
      <c r="F1" s="175"/>
    </row>
    <row r="2" spans="2:20" ht="15" thickTop="1"/>
    <row r="3" spans="2:20">
      <c r="B3" s="120" t="s">
        <v>229</v>
      </c>
      <c r="C3" t="s">
        <v>327</v>
      </c>
      <c r="D3" s="120" t="s">
        <v>230</v>
      </c>
      <c r="E3" s="119">
        <f ca="1">TODAY()</f>
        <v>46037</v>
      </c>
      <c r="F3" s="120" t="s">
        <v>231</v>
      </c>
      <c r="G3" s="119">
        <v>45460</v>
      </c>
    </row>
    <row r="4" spans="2:20" ht="15" thickBot="1"/>
    <row r="5" spans="2:20" ht="18.600000000000001" thickBot="1">
      <c r="B5" s="176" t="s">
        <v>0</v>
      </c>
      <c r="C5" s="177"/>
      <c r="D5" s="3"/>
      <c r="E5" s="4"/>
      <c r="F5" s="158" t="s">
        <v>331</v>
      </c>
      <c r="H5" s="87" t="s">
        <v>165</v>
      </c>
      <c r="I5" s="4"/>
      <c r="J5" s="4"/>
      <c r="K5" s="82"/>
    </row>
    <row r="6" spans="2:20" ht="16.2" thickBot="1">
      <c r="B6" s="5"/>
      <c r="C6" s="5"/>
    </row>
    <row r="7" spans="2:20" ht="15.6">
      <c r="B7" s="86" t="s">
        <v>174</v>
      </c>
      <c r="C7" s="6"/>
      <c r="D7" s="6"/>
      <c r="E7" s="6"/>
      <c r="F7" s="7"/>
      <c r="H7" s="147" t="s">
        <v>307</v>
      </c>
      <c r="I7" s="88" t="s">
        <v>39</v>
      </c>
      <c r="J7" s="89">
        <f>D33</f>
        <v>54.026845637583889</v>
      </c>
      <c r="K7" s="90" t="s">
        <v>40</v>
      </c>
      <c r="L7" s="148"/>
      <c r="N7">
        <v>330</v>
      </c>
      <c r="R7" t="s">
        <v>331</v>
      </c>
      <c r="S7" t="s">
        <v>330</v>
      </c>
    </row>
    <row r="8" spans="2:20" ht="15.6">
      <c r="B8" s="8" t="s">
        <v>175</v>
      </c>
      <c r="C8" s="5" t="s">
        <v>97</v>
      </c>
      <c r="D8" s="158">
        <f>IF(F$5="End Stage",S8,R8)</f>
        <v>250</v>
      </c>
      <c r="E8" s="10" t="s">
        <v>2</v>
      </c>
      <c r="F8" s="11"/>
      <c r="H8" s="91"/>
      <c r="I8" s="92" t="s">
        <v>70</v>
      </c>
      <c r="J8" s="93">
        <f>J59</f>
        <v>220.53028633891068</v>
      </c>
      <c r="K8" s="94" t="s">
        <v>40</v>
      </c>
      <c r="L8" s="170" t="str">
        <f>J60</f>
        <v>Pass</v>
      </c>
      <c r="N8">
        <v>590.16360892867874</v>
      </c>
      <c r="R8" s="161">
        <v>250</v>
      </c>
      <c r="S8" s="161">
        <v>450</v>
      </c>
      <c r="T8" s="161"/>
    </row>
    <row r="9" spans="2:20" ht="15.6">
      <c r="B9" s="8" t="s">
        <v>176</v>
      </c>
      <c r="C9" s="5" t="s">
        <v>3</v>
      </c>
      <c r="D9" s="9">
        <v>1000</v>
      </c>
      <c r="E9" s="10" t="s">
        <v>2</v>
      </c>
      <c r="F9" s="11"/>
      <c r="H9" s="91"/>
      <c r="I9" s="96" t="s">
        <v>166</v>
      </c>
      <c r="J9" s="93">
        <f>D56</f>
        <v>684.29688501923954</v>
      </c>
      <c r="K9" s="94" t="s">
        <v>167</v>
      </c>
      <c r="L9" s="170" t="str">
        <f>D57</f>
        <v>Pass</v>
      </c>
      <c r="N9">
        <v>968.039142694823</v>
      </c>
      <c r="R9" s="161"/>
      <c r="S9" s="161"/>
      <c r="T9" s="161"/>
    </row>
    <row r="10" spans="2:20" ht="18">
      <c r="B10" s="8" t="s">
        <v>4</v>
      </c>
      <c r="C10" s="81" t="s">
        <v>124</v>
      </c>
      <c r="D10" s="9">
        <v>25</v>
      </c>
      <c r="E10" s="10" t="s">
        <v>5</v>
      </c>
      <c r="F10" s="11"/>
      <c r="H10" s="91"/>
      <c r="I10" s="97"/>
      <c r="J10" s="98"/>
      <c r="K10" s="97"/>
      <c r="L10" s="170"/>
      <c r="R10" s="161"/>
      <c r="S10" s="161"/>
      <c r="T10" s="161"/>
    </row>
    <row r="11" spans="2:20" ht="15.6">
      <c r="B11" s="8" t="s">
        <v>134</v>
      </c>
      <c r="C11" s="5" t="s">
        <v>1</v>
      </c>
      <c r="D11" s="70">
        <f>D8-((H34*I34)+(H35*I35)+(H36*I36)+(H37*I37)+(H38*I38))/(SUM(H34:H38))</f>
        <v>155</v>
      </c>
      <c r="E11" s="10" t="s">
        <v>2</v>
      </c>
      <c r="F11" s="121" t="s">
        <v>232</v>
      </c>
      <c r="H11" s="91" t="s">
        <v>168</v>
      </c>
      <c r="I11" s="96" t="s">
        <v>171</v>
      </c>
      <c r="J11" s="93">
        <f>'PC-S1_DDR1 (2)'!J120</f>
        <v>48.65771812080537</v>
      </c>
      <c r="K11" s="94" t="s">
        <v>46</v>
      </c>
      <c r="L11" s="170"/>
      <c r="N11">
        <v>362.06809785136329</v>
      </c>
      <c r="R11" s="161"/>
      <c r="S11" s="161"/>
      <c r="T11" s="161"/>
    </row>
    <row r="12" spans="2:20" ht="15.6">
      <c r="B12" s="84" t="s">
        <v>6</v>
      </c>
      <c r="D12" s="12"/>
      <c r="F12" s="13"/>
      <c r="H12" s="91"/>
      <c r="I12" s="92" t="s">
        <v>169</v>
      </c>
      <c r="J12" s="93">
        <f>'PC-S1_DDR1 (2)'!D132</f>
        <v>477.08924894823321</v>
      </c>
      <c r="K12" s="94" t="s">
        <v>46</v>
      </c>
      <c r="L12" s="170" t="str">
        <f>'PC-S1_DDR1 (2)'!D133</f>
        <v>Pass</v>
      </c>
      <c r="N12">
        <v>677.37940140047135</v>
      </c>
      <c r="R12" s="161"/>
      <c r="S12" s="161"/>
      <c r="T12" s="161"/>
    </row>
    <row r="13" spans="2:20" ht="15.6">
      <c r="B13" s="8" t="s">
        <v>7</v>
      </c>
      <c r="C13" s="5" t="s">
        <v>8</v>
      </c>
      <c r="D13" s="158">
        <f>IF(F$5="End Stage",S13,R13)</f>
        <v>30</v>
      </c>
      <c r="E13" s="10" t="s">
        <v>2</v>
      </c>
      <c r="F13" s="11" t="s">
        <v>9</v>
      </c>
      <c r="H13" s="91"/>
      <c r="I13" s="92" t="s">
        <v>170</v>
      </c>
      <c r="J13" s="93">
        <f>'PC-S1_DDR1 (2)'!J132</f>
        <v>569.62835852726107</v>
      </c>
      <c r="K13" s="94" t="s">
        <v>46</v>
      </c>
      <c r="L13" s="170" t="str">
        <f>'PC-S1_DDR1 (2)'!J133</f>
        <v>Pass</v>
      </c>
      <c r="N13">
        <v>652.56179042158783</v>
      </c>
      <c r="R13" s="161">
        <v>30</v>
      </c>
      <c r="S13" s="161">
        <v>50</v>
      </c>
      <c r="T13" s="161"/>
    </row>
    <row r="14" spans="2:20" ht="15.6">
      <c r="B14" s="8" t="s">
        <v>10</v>
      </c>
      <c r="C14" s="5" t="s">
        <v>8</v>
      </c>
      <c r="D14" s="9">
        <v>65</v>
      </c>
      <c r="E14" s="10" t="s">
        <v>2</v>
      </c>
      <c r="F14" s="11" t="s">
        <v>9</v>
      </c>
      <c r="H14" s="91"/>
      <c r="I14" s="97"/>
      <c r="J14" s="99"/>
      <c r="K14" s="97"/>
      <c r="L14" s="170"/>
      <c r="R14" s="168"/>
      <c r="S14" s="168"/>
      <c r="T14" s="161"/>
    </row>
    <row r="15" spans="2:20" ht="15.6">
      <c r="B15" s="8" t="s">
        <v>11</v>
      </c>
      <c r="C15" s="5" t="s">
        <v>12</v>
      </c>
      <c r="D15" s="158">
        <f>IF(F$5="End Stage",S15,R15)</f>
        <v>16</v>
      </c>
      <c r="E15" s="10" t="s">
        <v>2</v>
      </c>
      <c r="F15" s="11"/>
      <c r="H15" s="91" t="s">
        <v>177</v>
      </c>
      <c r="I15" s="96" t="s">
        <v>157</v>
      </c>
      <c r="J15" s="99">
        <f>'PC-S1_DDR1 (2)'!D176</f>
        <v>24.410142349683323</v>
      </c>
      <c r="K15" s="94" t="s">
        <v>25</v>
      </c>
      <c r="L15" s="171" t="str">
        <f>'PC-S1_DDR1 (2)'!D177</f>
        <v>Pass</v>
      </c>
      <c r="N15">
        <v>11.092496858804743</v>
      </c>
      <c r="R15" s="161">
        <v>16</v>
      </c>
      <c r="S15" s="164">
        <v>32</v>
      </c>
      <c r="T15" s="161"/>
    </row>
    <row r="16" spans="2:20" ht="15.6">
      <c r="B16" s="8" t="s">
        <v>13</v>
      </c>
      <c r="C16" s="5" t="s">
        <v>14</v>
      </c>
      <c r="D16" s="9">
        <v>28</v>
      </c>
      <c r="E16" s="10" t="s">
        <v>2</v>
      </c>
      <c r="F16" s="11"/>
      <c r="H16" s="91"/>
      <c r="I16" s="96" t="s">
        <v>159</v>
      </c>
      <c r="J16" s="99">
        <f>'PC-S1_DDR1 (2)'!D178</f>
        <v>0</v>
      </c>
      <c r="K16" s="94" t="s">
        <v>25</v>
      </c>
      <c r="L16" s="171" t="str">
        <f>'PC-S1_DDR1 (2)'!D179</f>
        <v>Pass</v>
      </c>
      <c r="N16">
        <v>135.99391928404924</v>
      </c>
      <c r="R16" s="168"/>
      <c r="S16" s="161"/>
      <c r="T16" s="161"/>
    </row>
    <row r="17" spans="2:20" ht="15.6">
      <c r="B17" s="84" t="s">
        <v>15</v>
      </c>
      <c r="D17" s="12"/>
      <c r="F17" s="13"/>
      <c r="H17" s="91"/>
      <c r="I17" s="97"/>
      <c r="J17" s="99"/>
      <c r="K17" s="97"/>
      <c r="L17" s="170"/>
      <c r="R17" s="168"/>
      <c r="S17" s="161"/>
      <c r="T17" s="161"/>
    </row>
    <row r="18" spans="2:20" ht="15.6">
      <c r="B18" s="8" t="s">
        <v>16</v>
      </c>
      <c r="C18" s="5" t="s">
        <v>17</v>
      </c>
      <c r="D18" s="9">
        <v>16</v>
      </c>
      <c r="E18" s="10" t="s">
        <v>2</v>
      </c>
      <c r="F18" s="14"/>
      <c r="H18" s="91" t="s">
        <v>178</v>
      </c>
      <c r="I18" s="96" t="s">
        <v>157</v>
      </c>
      <c r="J18" s="99">
        <f>'PC-S1_DDR1 (2)'!J176</f>
        <v>11.141386501401351</v>
      </c>
      <c r="K18" s="94" t="s">
        <v>25</v>
      </c>
      <c r="L18" s="171" t="str">
        <f>'PC-S1_DDR1 (2)'!J177</f>
        <v>Pass</v>
      </c>
      <c r="N18">
        <v>12.196548240821899</v>
      </c>
      <c r="R18" s="168"/>
      <c r="S18" s="161"/>
      <c r="T18" s="161"/>
    </row>
    <row r="19" spans="2:20" ht="16.2" thickBot="1">
      <c r="B19" s="8" t="s">
        <v>18</v>
      </c>
      <c r="C19" s="5" t="s">
        <v>19</v>
      </c>
      <c r="D19" s="9">
        <v>200</v>
      </c>
      <c r="E19" s="10" t="s">
        <v>2</v>
      </c>
      <c r="F19" s="14"/>
      <c r="H19" s="101"/>
      <c r="I19" s="102" t="s">
        <v>159</v>
      </c>
      <c r="J19" s="103">
        <f>'PC-S1_DDR1 (2)'!J178</f>
        <v>68.785958784658277</v>
      </c>
      <c r="K19" s="104" t="s">
        <v>25</v>
      </c>
      <c r="L19" s="172" t="str">
        <f>'PC-S1_DDR1 (2)'!J179</f>
        <v>Pass</v>
      </c>
      <c r="N19">
        <v>102.19933714694362</v>
      </c>
      <c r="R19" s="168"/>
      <c r="S19" s="161"/>
      <c r="T19" s="161"/>
    </row>
    <row r="20" spans="2:20" ht="16.2" thickBot="1">
      <c r="B20" s="8" t="s">
        <v>20</v>
      </c>
      <c r="C20" s="5"/>
      <c r="D20" s="9">
        <v>2</v>
      </c>
      <c r="F20" s="14"/>
      <c r="R20" s="168"/>
      <c r="S20" s="161"/>
      <c r="T20" s="161"/>
    </row>
    <row r="21" spans="2:20" ht="15.6">
      <c r="B21" s="8" t="s">
        <v>123</v>
      </c>
      <c r="C21" s="5" t="s">
        <v>17</v>
      </c>
      <c r="D21" s="9">
        <v>16</v>
      </c>
      <c r="E21" s="10" t="s">
        <v>2</v>
      </c>
      <c r="F21" s="11"/>
      <c r="H21" s="163" t="s">
        <v>335</v>
      </c>
      <c r="I21" s="6"/>
      <c r="J21" s="6"/>
      <c r="K21" s="6"/>
      <c r="L21" s="7"/>
      <c r="R21" s="168"/>
      <c r="S21" s="161"/>
      <c r="T21" s="161"/>
    </row>
    <row r="22" spans="2:20" ht="15.6">
      <c r="B22" s="84" t="s">
        <v>22</v>
      </c>
      <c r="C22" s="15"/>
      <c r="D22" s="16"/>
      <c r="F22" s="11"/>
      <c r="H22" s="52" t="s">
        <v>332</v>
      </c>
      <c r="I22" s="5" t="s">
        <v>152</v>
      </c>
      <c r="J22" s="158">
        <f>IF(F$5="End Stage",S22,R22)</f>
        <v>155</v>
      </c>
      <c r="K22" s="10" t="s">
        <v>25</v>
      </c>
      <c r="L22" s="13" t="s">
        <v>333</v>
      </c>
      <c r="R22" s="161">
        <v>155</v>
      </c>
      <c r="S22" s="161">
        <v>150</v>
      </c>
      <c r="T22" s="161"/>
    </row>
    <row r="23" spans="2:20" ht="16.2" thickBot="1">
      <c r="B23" s="8" t="s">
        <v>23</v>
      </c>
      <c r="C23" s="5" t="s">
        <v>24</v>
      </c>
      <c r="D23" s="9">
        <v>50</v>
      </c>
      <c r="E23" s="10" t="s">
        <v>25</v>
      </c>
      <c r="F23" s="11"/>
      <c r="H23" s="162" t="s">
        <v>332</v>
      </c>
      <c r="I23" s="39" t="s">
        <v>152</v>
      </c>
      <c r="J23" s="83">
        <v>150</v>
      </c>
      <c r="K23" s="40" t="s">
        <v>25</v>
      </c>
      <c r="L23" s="47" t="s">
        <v>334</v>
      </c>
      <c r="R23" s="168"/>
      <c r="S23" s="161"/>
      <c r="T23" s="161"/>
    </row>
    <row r="24" spans="2:20" ht="16.2" thickBot="1">
      <c r="B24" s="8" t="s">
        <v>26</v>
      </c>
      <c r="C24" s="5" t="s">
        <v>27</v>
      </c>
      <c r="D24" s="9">
        <v>500</v>
      </c>
      <c r="E24" s="10" t="s">
        <v>25</v>
      </c>
      <c r="F24" s="11" t="s">
        <v>28</v>
      </c>
      <c r="O24" t="s">
        <v>328</v>
      </c>
      <c r="P24" s="9">
        <v>150</v>
      </c>
      <c r="R24" s="168"/>
      <c r="S24" s="161"/>
      <c r="T24" s="161"/>
    </row>
    <row r="25" spans="2:20" ht="16.2" thickBot="1">
      <c r="B25" s="8" t="s">
        <v>29</v>
      </c>
      <c r="C25" s="5" t="s">
        <v>27</v>
      </c>
      <c r="D25" s="9">
        <v>500</v>
      </c>
      <c r="E25" s="10" t="s">
        <v>25</v>
      </c>
      <c r="F25" s="11" t="s">
        <v>28</v>
      </c>
      <c r="H25" s="20" t="s">
        <v>325</v>
      </c>
      <c r="I25" s="21"/>
      <c r="J25" s="22"/>
      <c r="O25" t="s">
        <v>329</v>
      </c>
      <c r="P25">
        <f>ROUNDDOWN(1+(D9-2*D14)/P24,0)</f>
        <v>6</v>
      </c>
      <c r="Q25">
        <f>1+(D9-2*D14)/P24</f>
        <v>6.8</v>
      </c>
      <c r="R25" s="168"/>
      <c r="S25" s="161"/>
      <c r="T25" s="161"/>
    </row>
    <row r="26" spans="2:20" ht="16.2" thickTop="1">
      <c r="B26" s="8" t="s">
        <v>102</v>
      </c>
      <c r="C26" s="5" t="s">
        <v>103</v>
      </c>
      <c r="D26" s="9">
        <v>500</v>
      </c>
      <c r="E26" s="10" t="s">
        <v>25</v>
      </c>
      <c r="F26" s="11" t="s">
        <v>28</v>
      </c>
      <c r="H26" s="23" t="s">
        <v>53</v>
      </c>
      <c r="I26" s="24" t="s">
        <v>72</v>
      </c>
      <c r="J26" s="25" t="s">
        <v>73</v>
      </c>
      <c r="R26" s="168"/>
      <c r="S26" s="161"/>
      <c r="T26" s="161"/>
    </row>
    <row r="27" spans="2:20" ht="15.6">
      <c r="B27" s="8" t="s">
        <v>30</v>
      </c>
      <c r="C27" s="5" t="s">
        <v>31</v>
      </c>
      <c r="D27" s="17">
        <v>200000</v>
      </c>
      <c r="E27" s="10" t="s">
        <v>25</v>
      </c>
      <c r="F27" s="11" t="s">
        <v>32</v>
      </c>
      <c r="H27" s="165">
        <f>IF(F$5="End Stage",S27,R27)</f>
        <v>3</v>
      </c>
      <c r="I27" s="27">
        <f>IF(H27=0,0,D13+0.5*D15+D18)</f>
        <v>54</v>
      </c>
      <c r="J27" s="28">
        <f>H27*I27</f>
        <v>162</v>
      </c>
      <c r="R27" s="161">
        <v>3</v>
      </c>
      <c r="S27" s="161">
        <v>7</v>
      </c>
      <c r="T27" s="161"/>
    </row>
    <row r="28" spans="2:20" ht="15.6">
      <c r="B28" s="8" t="s">
        <v>226</v>
      </c>
      <c r="C28" s="5" t="s">
        <v>227</v>
      </c>
      <c r="D28" s="9">
        <v>16</v>
      </c>
      <c r="E28" s="10" t="s">
        <v>2</v>
      </c>
      <c r="F28" s="11" t="s">
        <v>184</v>
      </c>
      <c r="H28" s="29">
        <v>0</v>
      </c>
      <c r="I28" s="30">
        <f>IF(H28=0,0,I27+150)</f>
        <v>0</v>
      </c>
      <c r="J28" s="31">
        <f>H28*I28</f>
        <v>0</v>
      </c>
      <c r="K28" s="151"/>
      <c r="R28" s="168"/>
      <c r="S28" s="161"/>
      <c r="T28" s="161"/>
    </row>
    <row r="29" spans="2:20" ht="15.6">
      <c r="B29" s="84" t="s">
        <v>33</v>
      </c>
      <c r="D29" s="12"/>
      <c r="F29" s="13"/>
      <c r="H29" s="29">
        <v>0</v>
      </c>
      <c r="I29" s="30">
        <f>IF(H29=0,0,I28+150)</f>
        <v>0</v>
      </c>
      <c r="J29" s="31">
        <f>H29*I29</f>
        <v>0</v>
      </c>
      <c r="R29" s="168"/>
      <c r="S29" s="161"/>
      <c r="T29" s="161"/>
    </row>
    <row r="30" spans="2:20" ht="15.6">
      <c r="B30" s="8" t="s">
        <v>34</v>
      </c>
      <c r="C30" s="18" t="s">
        <v>35</v>
      </c>
      <c r="D30" s="9">
        <v>0.8</v>
      </c>
      <c r="F30" s="11" t="s">
        <v>36</v>
      </c>
      <c r="H30" s="29">
        <v>0</v>
      </c>
      <c r="I30" s="30">
        <f>IF(H30=0,0,I29+$D$13+0.5*$D$15)</f>
        <v>0</v>
      </c>
      <c r="J30" s="31">
        <f>H30*I30</f>
        <v>0</v>
      </c>
      <c r="R30" s="168"/>
      <c r="S30" s="161"/>
      <c r="T30" s="161"/>
    </row>
    <row r="31" spans="2:20" ht="16.2" thickBot="1">
      <c r="B31" s="8" t="s">
        <v>145</v>
      </c>
      <c r="C31" s="18" t="s">
        <v>35</v>
      </c>
      <c r="D31" s="9">
        <v>0.7</v>
      </c>
      <c r="F31" s="11" t="s">
        <v>36</v>
      </c>
      <c r="H31" s="29">
        <v>0</v>
      </c>
      <c r="I31" s="30">
        <f>IF(H31=0,0,I30+$D$13+0.5*$D$15)</f>
        <v>0</v>
      </c>
      <c r="J31" s="31">
        <f>H31*I31</f>
        <v>0</v>
      </c>
      <c r="R31" s="168"/>
      <c r="S31" s="161"/>
      <c r="T31" s="161"/>
    </row>
    <row r="32" spans="2:20" ht="16.2" thickBot="1">
      <c r="B32" s="84" t="s">
        <v>37</v>
      </c>
      <c r="C32" s="5"/>
      <c r="D32" s="85"/>
      <c r="F32" s="14"/>
      <c r="H32" s="20" t="s">
        <v>324</v>
      </c>
      <c r="I32" s="21"/>
      <c r="J32" s="32"/>
      <c r="R32" s="168"/>
      <c r="S32" s="161"/>
      <c r="T32" s="161"/>
    </row>
    <row r="33" spans="2:26" ht="16.2" thickTop="1">
      <c r="B33" s="8" t="s">
        <v>38</v>
      </c>
      <c r="C33" s="5" t="s">
        <v>39</v>
      </c>
      <c r="D33" s="159">
        <f>IF(F$5="End Stage",S33,R33)</f>
        <v>54.026845637583889</v>
      </c>
      <c r="E33" s="10" t="s">
        <v>40</v>
      </c>
      <c r="F33" s="11" t="s">
        <v>41</v>
      </c>
      <c r="H33" s="23" t="s">
        <v>53</v>
      </c>
      <c r="I33" s="24" t="s">
        <v>72</v>
      </c>
      <c r="J33" s="25" t="s">
        <v>73</v>
      </c>
      <c r="R33" s="161">
        <f>161/2.98</f>
        <v>54.026845637583889</v>
      </c>
      <c r="S33" s="161">
        <v>200</v>
      </c>
      <c r="T33" s="161"/>
      <c r="V33">
        <v>200</v>
      </c>
      <c r="X33">
        <v>330</v>
      </c>
    </row>
    <row r="34" spans="2:26" ht="15.6">
      <c r="B34" s="8" t="s">
        <v>42</v>
      </c>
      <c r="C34" s="5" t="s">
        <v>43</v>
      </c>
      <c r="D34" s="159">
        <f t="shared" ref="D34:D39" si="0">IF(F$5="End Stage",S34,R34)</f>
        <v>0</v>
      </c>
      <c r="E34" s="10" t="s">
        <v>40</v>
      </c>
      <c r="F34" s="11" t="s">
        <v>41</v>
      </c>
      <c r="H34" s="26">
        <v>7</v>
      </c>
      <c r="I34" s="27">
        <f>IF(H34=0,0,D14+0.5*D16+D18)</f>
        <v>95</v>
      </c>
      <c r="J34" s="28">
        <f>H34*I34</f>
        <v>665</v>
      </c>
      <c r="L34" s="19"/>
      <c r="R34" s="161">
        <v>0</v>
      </c>
      <c r="S34" s="161">
        <v>200</v>
      </c>
      <c r="T34" s="161"/>
      <c r="V34">
        <v>200</v>
      </c>
      <c r="X34">
        <v>440</v>
      </c>
    </row>
    <row r="35" spans="2:26" ht="15.6">
      <c r="B35" s="173" t="s">
        <v>337</v>
      </c>
      <c r="C35" s="5" t="s">
        <v>225</v>
      </c>
      <c r="D35" s="159">
        <f t="shared" si="0"/>
        <v>0</v>
      </c>
      <c r="E35" s="10" t="s">
        <v>46</v>
      </c>
      <c r="F35" s="11" t="s">
        <v>41</v>
      </c>
      <c r="H35" s="29">
        <v>0</v>
      </c>
      <c r="I35" s="30">
        <f>IF(H35=0,0,I34+D16+25)</f>
        <v>0</v>
      </c>
      <c r="J35" s="31">
        <f>H35*I35</f>
        <v>0</v>
      </c>
      <c r="R35" s="161">
        <v>0</v>
      </c>
      <c r="S35" s="161">
        <v>-486</v>
      </c>
      <c r="T35" s="161">
        <v>214</v>
      </c>
      <c r="V35" s="161">
        <v>-486</v>
      </c>
      <c r="W35" s="161">
        <v>214</v>
      </c>
      <c r="X35">
        <v>-290</v>
      </c>
      <c r="Y35">
        <v>290</v>
      </c>
      <c r="Z35">
        <v>465</v>
      </c>
    </row>
    <row r="36" spans="2:26" ht="15.6">
      <c r="B36" s="8" t="s">
        <v>44</v>
      </c>
      <c r="C36" s="5" t="s">
        <v>45</v>
      </c>
      <c r="D36" s="159">
        <f t="shared" si="0"/>
        <v>48.65771812080537</v>
      </c>
      <c r="E36" s="10" t="s">
        <v>46</v>
      </c>
      <c r="F36" s="11" t="s">
        <v>41</v>
      </c>
      <c r="H36" s="29">
        <v>0</v>
      </c>
      <c r="I36" s="30">
        <f>IF(H36=0,0,I35+$D$13+0.5*$D$16)</f>
        <v>0</v>
      </c>
      <c r="J36" s="31">
        <f>H36*I36</f>
        <v>0</v>
      </c>
      <c r="R36" s="161">
        <f>145/2.98</f>
        <v>48.65771812080537</v>
      </c>
      <c r="S36" s="161">
        <v>155</v>
      </c>
      <c r="T36" s="161"/>
      <c r="V36">
        <v>155</v>
      </c>
      <c r="X36">
        <v>210</v>
      </c>
    </row>
    <row r="37" spans="2:26" ht="15.6">
      <c r="B37" s="8" t="s">
        <v>49</v>
      </c>
      <c r="C37" s="5" t="s">
        <v>50</v>
      </c>
      <c r="D37" s="159">
        <f t="shared" si="0"/>
        <v>0</v>
      </c>
      <c r="E37" s="10" t="s">
        <v>40</v>
      </c>
      <c r="F37" s="11" t="s">
        <v>41</v>
      </c>
      <c r="H37" s="29">
        <v>0</v>
      </c>
      <c r="I37" s="30">
        <f>IF(H37=0,0,I36+$D$13+0.5*$D$16)</f>
        <v>0</v>
      </c>
      <c r="J37" s="31">
        <f>H37*I37</f>
        <v>0</v>
      </c>
      <c r="R37" s="161">
        <v>0</v>
      </c>
      <c r="S37" s="161">
        <v>66</v>
      </c>
      <c r="T37" s="161"/>
      <c r="V37">
        <v>66</v>
      </c>
      <c r="X37">
        <v>65</v>
      </c>
    </row>
    <row r="38" spans="2:26" ht="15.6">
      <c r="B38" s="8" t="s">
        <v>47</v>
      </c>
      <c r="C38" s="5" t="s">
        <v>39</v>
      </c>
      <c r="D38" s="159">
        <f t="shared" si="0"/>
        <v>40.939597315436245</v>
      </c>
      <c r="E38" s="10" t="s">
        <v>40</v>
      </c>
      <c r="F38" s="11" t="s">
        <v>41</v>
      </c>
      <c r="H38" s="29">
        <v>0</v>
      </c>
      <c r="I38" s="30">
        <f>IF(H38=0,0,I37+$D$13+0.5*$D$16)</f>
        <v>0</v>
      </c>
      <c r="J38" s="31">
        <f>H38*I38</f>
        <v>0</v>
      </c>
      <c r="R38" s="161">
        <f>122/2.98</f>
        <v>40.939597315436245</v>
      </c>
      <c r="S38" s="161">
        <v>90</v>
      </c>
      <c r="T38" s="161"/>
      <c r="V38">
        <v>90</v>
      </c>
      <c r="X38">
        <v>190</v>
      </c>
    </row>
    <row r="39" spans="2:26" ht="16.2" thickBot="1">
      <c r="B39" s="38" t="s">
        <v>48</v>
      </c>
      <c r="C39" s="39" t="s">
        <v>43</v>
      </c>
      <c r="D39" s="160">
        <f t="shared" si="0"/>
        <v>0</v>
      </c>
      <c r="E39" s="40" t="s">
        <v>40</v>
      </c>
      <c r="F39" s="43" t="s">
        <v>41</v>
      </c>
      <c r="H39" s="34" t="s">
        <v>74</v>
      </c>
      <c r="I39" s="35" t="s">
        <v>52</v>
      </c>
      <c r="J39" s="36"/>
      <c r="R39" s="161">
        <v>0</v>
      </c>
      <c r="S39" s="161">
        <v>150</v>
      </c>
      <c r="T39" s="161"/>
      <c r="V39">
        <v>150</v>
      </c>
      <c r="X39">
        <v>300</v>
      </c>
    </row>
    <row r="40" spans="2:26" ht="15" thickBot="1"/>
    <row r="41" spans="2:26" ht="18.600000000000001" thickBot="1">
      <c r="B41" s="1" t="s">
        <v>51</v>
      </c>
      <c r="C41" s="5"/>
      <c r="I41" s="48"/>
      <c r="J41" s="48"/>
    </row>
    <row r="42" spans="2:26" ht="16.2" thickBot="1">
      <c r="B42" s="5"/>
      <c r="C42" s="5"/>
      <c r="L42" s="19"/>
    </row>
    <row r="43" spans="2:26" ht="15.6">
      <c r="B43" s="37" t="s">
        <v>99</v>
      </c>
      <c r="C43" s="6"/>
      <c r="D43" s="6"/>
      <c r="E43" s="6"/>
      <c r="F43" s="7"/>
    </row>
    <row r="44" spans="2:26">
      <c r="B44" s="44" t="s">
        <v>100</v>
      </c>
      <c r="F44" s="13"/>
    </row>
    <row r="45" spans="2:26">
      <c r="B45" s="44" t="s">
        <v>109</v>
      </c>
      <c r="F45" s="13"/>
    </row>
    <row r="46" spans="2:26">
      <c r="B46" s="44"/>
      <c r="F46" s="13"/>
    </row>
    <row r="47" spans="2:26" ht="15" thickBot="1">
      <c r="B47" s="45"/>
      <c r="C47" s="46"/>
      <c r="D47" s="46"/>
      <c r="E47" s="46"/>
      <c r="F47" s="47"/>
    </row>
    <row r="48" spans="2:26" ht="15" thickBot="1"/>
    <row r="49" spans="2:16" ht="15.6">
      <c r="B49" s="67"/>
      <c r="C49" s="68"/>
      <c r="D49" s="21"/>
      <c r="E49" s="21"/>
      <c r="F49" s="22"/>
    </row>
    <row r="50" spans="2:16" ht="15.6">
      <c r="B50" s="8" t="s">
        <v>54</v>
      </c>
      <c r="C50" s="5" t="s">
        <v>1</v>
      </c>
      <c r="D50" s="70">
        <f>D8-((H34*I34)+(H35*I35)+(H36*I36)+(H37*I37)+(H38*I38))/(SUM(H34:H38))</f>
        <v>155</v>
      </c>
      <c r="E50" s="10" t="s">
        <v>2</v>
      </c>
      <c r="F50" s="14"/>
      <c r="N50" s="42"/>
    </row>
    <row r="51" spans="2:16" ht="15.6">
      <c r="B51" s="8" t="s">
        <v>295</v>
      </c>
      <c r="C51" s="5" t="s">
        <v>55</v>
      </c>
      <c r="D51" s="71">
        <f>SUM(H34:H38)*ROUND(PI()*D16^2*0.25,-1)</f>
        <v>4340</v>
      </c>
      <c r="E51" s="10" t="s">
        <v>56</v>
      </c>
      <c r="F51" s="14"/>
    </row>
    <row r="52" spans="2:16" ht="16.2" thickBot="1">
      <c r="B52" s="8" t="s">
        <v>296</v>
      </c>
      <c r="C52" s="5" t="s">
        <v>297</v>
      </c>
      <c r="D52" s="71">
        <f>SUM(H27:H31)*ROUND(PI()*D15^2*0.25,-1)</f>
        <v>600</v>
      </c>
      <c r="E52" s="10" t="s">
        <v>56</v>
      </c>
      <c r="F52" s="13"/>
    </row>
    <row r="53" spans="2:16" ht="15.6">
      <c r="B53" s="8" t="s">
        <v>57</v>
      </c>
      <c r="C53" s="5" t="s">
        <v>58</v>
      </c>
      <c r="D53" s="70">
        <f>IF(0.85-0.0015*($D$23)&lt;0.67,0.67,0.85-0.0015*($D$23))</f>
        <v>0.77500000000000002</v>
      </c>
      <c r="F53" s="11" t="s">
        <v>59</v>
      </c>
      <c r="H53" s="133" t="s">
        <v>308</v>
      </c>
      <c r="I53" s="134" t="s">
        <v>309</v>
      </c>
      <c r="J53" s="135">
        <f>D8-((H27*I27)+(H28*I28)+(H29*I29)+(H30*I30)+(H31*I31))/(SUM(H27:H31))</f>
        <v>196</v>
      </c>
      <c r="K53" s="135" t="s">
        <v>2</v>
      </c>
      <c r="L53" s="7"/>
    </row>
    <row r="54" spans="2:16" ht="15.6">
      <c r="B54" s="8" t="s">
        <v>60</v>
      </c>
      <c r="C54" s="18" t="s">
        <v>61</v>
      </c>
      <c r="D54" s="70">
        <f>IF(0.97-0.0025*($D$23)&lt;0.67,0.67,0.97-0.0025*($D$23))</f>
        <v>0.84499999999999997</v>
      </c>
      <c r="F54" s="11" t="s">
        <v>59</v>
      </c>
      <c r="H54" s="8" t="s">
        <v>298</v>
      </c>
      <c r="I54" s="108" t="s">
        <v>306</v>
      </c>
      <c r="J54" s="71">
        <f>J84-D86</f>
        <v>-6.4401319832541049E-9</v>
      </c>
      <c r="K54" s="70" t="s">
        <v>46</v>
      </c>
      <c r="L54" s="13"/>
    </row>
    <row r="55" spans="2:16" ht="15.6">
      <c r="B55" s="8" t="s">
        <v>294</v>
      </c>
      <c r="C55" s="5" t="s">
        <v>237</v>
      </c>
      <c r="D55" s="156">
        <v>64.484592138684803</v>
      </c>
      <c r="E55" s="136" t="s">
        <v>2</v>
      </c>
      <c r="F55" s="11"/>
      <c r="H55" s="8" t="s">
        <v>62</v>
      </c>
      <c r="I55" s="108" t="s">
        <v>299</v>
      </c>
      <c r="J55" s="110">
        <f>D55/D50</f>
        <v>0.41602962670119226</v>
      </c>
      <c r="K55" s="70"/>
      <c r="L55" s="13"/>
    </row>
    <row r="56" spans="2:16" ht="15.6">
      <c r="B56" s="8" t="s">
        <v>65</v>
      </c>
      <c r="C56" s="5" t="s">
        <v>66</v>
      </c>
      <c r="D56" s="71">
        <f>0.2*((D8/D50)^2)*0.6*SQRT(D23)/D24*D9*D50</f>
        <v>684.29688501923954</v>
      </c>
      <c r="E56" s="10" t="s">
        <v>56</v>
      </c>
      <c r="F56" s="11" t="s">
        <v>67</v>
      </c>
      <c r="H56" s="8" t="s">
        <v>63</v>
      </c>
      <c r="I56" s="5"/>
      <c r="J56" s="150" t="str">
        <f>IF(J55&gt;0.36,"Check ku","ku OK")</f>
        <v>Check ku</v>
      </c>
      <c r="K56" s="69"/>
      <c r="L56" s="11" t="s">
        <v>64</v>
      </c>
    </row>
    <row r="57" spans="2:16" ht="15.6">
      <c r="B57" s="8" t="s">
        <v>68</v>
      </c>
      <c r="C57" s="5"/>
      <c r="D57" s="57" t="str">
        <f>IF(D51&gt;D56,"Pass","Fail")</f>
        <v>Pass</v>
      </c>
      <c r="E57" t="s">
        <v>69</v>
      </c>
      <c r="F57" s="11" t="s">
        <v>317</v>
      </c>
      <c r="H57" s="8" t="s">
        <v>300</v>
      </c>
      <c r="I57" s="108" t="s">
        <v>301</v>
      </c>
      <c r="J57" s="118">
        <f>((J78*1000*(D8-I34)+J79*1000*(D8-I35)+J80*1000*(D8-I36)+J81*1000*(D8-I37)+J82*1000*(D8-I38))-(D84*1000*D54*D55*0.5)-(D78*1000*I27+D79*1000*I28+D80*1000*I29+D81*1000*I30+D82*1000*I31))*10^-6</f>
        <v>275.66285792363834</v>
      </c>
      <c r="K57" s="70" t="s">
        <v>192</v>
      </c>
      <c r="L57" s="13"/>
    </row>
    <row r="58" spans="2:16" ht="15.6">
      <c r="B58" s="8" t="s">
        <v>68</v>
      </c>
      <c r="C58" s="5"/>
      <c r="D58" s="57" t="str">
        <f>IF(D51&gt;J138,"Pass","Fail")</f>
        <v>Pass</v>
      </c>
      <c r="E58" t="s">
        <v>69</v>
      </c>
      <c r="F58" s="11" t="s">
        <v>318</v>
      </c>
      <c r="H58" s="8" t="s">
        <v>303</v>
      </c>
      <c r="I58" s="108" t="s">
        <v>302</v>
      </c>
      <c r="J58" s="118">
        <f>1.2*(D9*(D8^2)/6)*(0.6*SQRT(D23))/1000000</f>
        <v>53.033008588991052</v>
      </c>
      <c r="K58" s="70" t="s">
        <v>192</v>
      </c>
      <c r="L58" s="13"/>
    </row>
    <row r="59" spans="2:16" ht="15.6">
      <c r="B59" s="8" t="s">
        <v>239</v>
      </c>
      <c r="C59" s="5" t="s">
        <v>292</v>
      </c>
      <c r="D59" s="136">
        <v>3.0000000000000001E-3</v>
      </c>
      <c r="E59" s="136" t="s">
        <v>197</v>
      </c>
      <c r="F59" s="13"/>
      <c r="H59" s="8" t="s">
        <v>304</v>
      </c>
      <c r="I59" s="108" t="s">
        <v>305</v>
      </c>
      <c r="J59" s="118">
        <f>J57*D30</f>
        <v>220.53028633891068</v>
      </c>
      <c r="K59" s="70" t="s">
        <v>192</v>
      </c>
      <c r="L59" s="13"/>
    </row>
    <row r="60" spans="2:16" ht="16.2" thickBot="1">
      <c r="B60" s="38" t="s">
        <v>238</v>
      </c>
      <c r="C60" s="39" t="s">
        <v>293</v>
      </c>
      <c r="D60" s="157">
        <v>2.5000000000000001E-3</v>
      </c>
      <c r="E60" s="157" t="s">
        <v>197</v>
      </c>
      <c r="F60" s="47"/>
      <c r="H60" s="38" t="s">
        <v>71</v>
      </c>
      <c r="I60" s="39"/>
      <c r="J60" s="59" t="str">
        <f>IF(J59&gt;D33,"Pass","Fail")</f>
        <v>Pass</v>
      </c>
      <c r="K60" s="40"/>
      <c r="L60" s="43" t="s">
        <v>52</v>
      </c>
      <c r="P60" s="42"/>
    </row>
    <row r="61" spans="2:16" ht="15" thickBot="1"/>
    <row r="62" spans="2:16" ht="15.6">
      <c r="B62" s="37" t="s">
        <v>240</v>
      </c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2:16">
      <c r="B63" s="127"/>
      <c r="L63" s="13"/>
    </row>
    <row r="64" spans="2:16">
      <c r="B64" s="137" t="s">
        <v>235</v>
      </c>
      <c r="C64" s="132"/>
      <c r="D64" s="138"/>
      <c r="E64" s="139"/>
      <c r="F64" s="130"/>
      <c r="G64" s="130"/>
      <c r="H64" s="129" t="s">
        <v>236</v>
      </c>
      <c r="I64" s="132"/>
      <c r="J64" s="138"/>
      <c r="K64" s="139"/>
      <c r="L64" s="146"/>
    </row>
    <row r="65" spans="2:15" ht="15.6">
      <c r="B65" s="140"/>
      <c r="C65" s="130"/>
      <c r="D65" s="141"/>
      <c r="H65" s="130"/>
      <c r="I65" s="130"/>
      <c r="J65" s="141"/>
      <c r="L65" s="146"/>
    </row>
    <row r="66" spans="2:15" ht="15.6">
      <c r="B66" s="8" t="s">
        <v>241</v>
      </c>
      <c r="C66" s="5" t="s">
        <v>282</v>
      </c>
      <c r="D66" s="142">
        <f>IF(I27=0,0,$D$59*($D$55-I27)/$D$55)</f>
        <v>4.8777196804482921E-4</v>
      </c>
      <c r="E66" s="136" t="s">
        <v>197</v>
      </c>
      <c r="H66" s="5" t="s">
        <v>261</v>
      </c>
      <c r="I66" s="5" t="s">
        <v>282</v>
      </c>
      <c r="J66" s="10">
        <f>IF(I34=0,0,$D$59*($D$8-I34-$D$55)/$D$55)</f>
        <v>4.2110249065379904E-3</v>
      </c>
      <c r="K66" s="136" t="s">
        <v>197</v>
      </c>
      <c r="L66" s="146"/>
      <c r="M66" s="130"/>
      <c r="N66" s="131"/>
      <c r="O66" s="130"/>
    </row>
    <row r="67" spans="2:15" ht="15.6">
      <c r="B67" s="8" t="s">
        <v>242</v>
      </c>
      <c r="C67" s="5" t="s">
        <v>283</v>
      </c>
      <c r="D67" s="142">
        <f>IF(I28=0,0,$D$59*($D$55-I28)/$D$55)</f>
        <v>0</v>
      </c>
      <c r="E67" s="136" t="s">
        <v>197</v>
      </c>
      <c r="H67" s="5" t="s">
        <v>262</v>
      </c>
      <c r="I67" s="5" t="s">
        <v>283</v>
      </c>
      <c r="J67" s="10">
        <f>IF(I35=0,0,$D$59*($D$8-I35-$D$55)/$D$55)</f>
        <v>0</v>
      </c>
      <c r="K67" s="136" t="s">
        <v>197</v>
      </c>
      <c r="L67" s="146"/>
      <c r="M67" s="130"/>
      <c r="N67" s="131"/>
      <c r="O67" s="130"/>
    </row>
    <row r="68" spans="2:15" ht="15.6">
      <c r="B68" s="8" t="s">
        <v>243</v>
      </c>
      <c r="C68" s="5" t="s">
        <v>284</v>
      </c>
      <c r="D68" s="142">
        <f>IF(I29=0,0,$D$59*($D$55-I29)/$D$55)</f>
        <v>0</v>
      </c>
      <c r="E68" s="136" t="s">
        <v>197</v>
      </c>
      <c r="H68" s="5" t="s">
        <v>263</v>
      </c>
      <c r="I68" s="5" t="s">
        <v>284</v>
      </c>
      <c r="J68" s="10">
        <f>IF(I36=0,0,$D$59*($D$8-I36-$D$55)/$D$55)</f>
        <v>0</v>
      </c>
      <c r="K68" s="136" t="s">
        <v>197</v>
      </c>
      <c r="L68" s="13"/>
      <c r="M68" s="130"/>
      <c r="N68" s="131"/>
      <c r="O68" s="130"/>
    </row>
    <row r="69" spans="2:15" ht="15.6">
      <c r="B69" s="8" t="s">
        <v>244</v>
      </c>
      <c r="C69" s="5" t="s">
        <v>285</v>
      </c>
      <c r="D69" s="142">
        <f>IF(I30=0,0,$D$59*($D$55-I30)/$D$55)</f>
        <v>0</v>
      </c>
      <c r="E69" s="136" t="s">
        <v>197</v>
      </c>
      <c r="H69" s="5" t="s">
        <v>264</v>
      </c>
      <c r="I69" s="5" t="s">
        <v>285</v>
      </c>
      <c r="J69" s="10">
        <f>IF(I37=0,0,$D$59*($D$8-I37-$D$55)/$D$55)</f>
        <v>0</v>
      </c>
      <c r="K69" s="136" t="s">
        <v>197</v>
      </c>
      <c r="L69" s="13"/>
    </row>
    <row r="70" spans="2:15" ht="15.6">
      <c r="B70" s="8" t="s">
        <v>245</v>
      </c>
      <c r="C70" s="5" t="s">
        <v>286</v>
      </c>
      <c r="D70" s="142">
        <f>IF(I31=0,0,$D$59*($D$55-I31)/$D$55)</f>
        <v>0</v>
      </c>
      <c r="E70" s="136" t="s">
        <v>197</v>
      </c>
      <c r="H70" s="5" t="s">
        <v>265</v>
      </c>
      <c r="I70" s="5" t="s">
        <v>286</v>
      </c>
      <c r="J70" s="10">
        <f>IF(I38=0,0,$D$59*($D$8-I38-$D$55)/$D$55)</f>
        <v>0</v>
      </c>
      <c r="K70" s="136" t="s">
        <v>197</v>
      </c>
      <c r="L70" s="13"/>
    </row>
    <row r="71" spans="2:15" ht="15.6">
      <c r="B71" s="143"/>
      <c r="C71" s="136"/>
      <c r="D71" s="136"/>
      <c r="E71" s="136"/>
      <c r="H71" s="70"/>
      <c r="I71" s="136"/>
      <c r="J71" s="136"/>
      <c r="K71" s="136"/>
      <c r="L71" s="13"/>
    </row>
    <row r="72" spans="2:15" ht="15" customHeight="1">
      <c r="B72" s="144" t="s">
        <v>246</v>
      </c>
      <c r="C72" s="18" t="s">
        <v>287</v>
      </c>
      <c r="D72" s="149">
        <f>MIN(D66*$D$27,D24)</f>
        <v>97.554393608965839</v>
      </c>
      <c r="E72" s="136" t="s">
        <v>25</v>
      </c>
      <c r="H72" s="108" t="s">
        <v>266</v>
      </c>
      <c r="I72" s="18" t="s">
        <v>287</v>
      </c>
      <c r="J72" s="149">
        <f>MIN(J66*$D$27,D25)</f>
        <v>500</v>
      </c>
      <c r="K72" s="136" t="s">
        <v>25</v>
      </c>
      <c r="L72" s="13"/>
    </row>
    <row r="73" spans="2:15" ht="18.600000000000001">
      <c r="B73" s="144" t="s">
        <v>247</v>
      </c>
      <c r="C73" s="18" t="s">
        <v>288</v>
      </c>
      <c r="D73" s="149">
        <f>MIN(D67*$D$27,D25)</f>
        <v>0</v>
      </c>
      <c r="E73" s="136" t="s">
        <v>25</v>
      </c>
      <c r="H73" s="108" t="s">
        <v>267</v>
      </c>
      <c r="I73" s="18" t="s">
        <v>288</v>
      </c>
      <c r="J73" s="149">
        <f>MIN(J67*$D$27,D26)</f>
        <v>0</v>
      </c>
      <c r="K73" s="136" t="s">
        <v>25</v>
      </c>
      <c r="L73" s="13"/>
    </row>
    <row r="74" spans="2:15" ht="15" customHeight="1">
      <c r="B74" s="144" t="s">
        <v>248</v>
      </c>
      <c r="C74" s="18" t="s">
        <v>289</v>
      </c>
      <c r="D74" s="149">
        <f>MIN(D68*$D$27,D26)</f>
        <v>0</v>
      </c>
      <c r="E74" s="136" t="s">
        <v>25</v>
      </c>
      <c r="H74" s="108" t="s">
        <v>268</v>
      </c>
      <c r="I74" s="18" t="s">
        <v>289</v>
      </c>
      <c r="J74" s="149">
        <f>MIN(J68*$D$27,D27)</f>
        <v>0</v>
      </c>
      <c r="K74" s="136" t="s">
        <v>25</v>
      </c>
      <c r="L74" s="13"/>
    </row>
    <row r="75" spans="2:15" ht="15.75" customHeight="1">
      <c r="B75" s="144" t="s">
        <v>249</v>
      </c>
      <c r="C75" s="18" t="s">
        <v>290</v>
      </c>
      <c r="D75" s="149">
        <f>MIN(D69*$D$27,D27)</f>
        <v>0</v>
      </c>
      <c r="E75" s="136" t="s">
        <v>25</v>
      </c>
      <c r="H75" s="108" t="s">
        <v>269</v>
      </c>
      <c r="I75" s="18" t="s">
        <v>290</v>
      </c>
      <c r="J75" s="149">
        <f>MIN(J69*$D$27,D28)</f>
        <v>0</v>
      </c>
      <c r="K75" s="136" t="s">
        <v>25</v>
      </c>
      <c r="L75" s="13"/>
    </row>
    <row r="76" spans="2:15" ht="15" customHeight="1">
      <c r="B76" s="144" t="s">
        <v>250</v>
      </c>
      <c r="C76" s="18" t="s">
        <v>291</v>
      </c>
      <c r="D76" s="149">
        <f>MIN(D70*$D$27,D28)</f>
        <v>0</v>
      </c>
      <c r="E76" s="136" t="s">
        <v>25</v>
      </c>
      <c r="H76" s="108" t="s">
        <v>270</v>
      </c>
      <c r="I76" s="18" t="s">
        <v>291</v>
      </c>
      <c r="J76" s="149">
        <f>MIN(J70*$D$27,D29)</f>
        <v>0</v>
      </c>
      <c r="K76" s="136" t="s">
        <v>25</v>
      </c>
      <c r="L76" s="13"/>
    </row>
    <row r="77" spans="2:15" ht="15.6">
      <c r="B77" s="145"/>
      <c r="C77" s="136"/>
      <c r="D77" s="149"/>
      <c r="E77" s="136"/>
      <c r="H77" s="70"/>
      <c r="I77" s="136"/>
      <c r="J77" s="149"/>
      <c r="K77" s="136"/>
      <c r="L77" s="13"/>
    </row>
    <row r="78" spans="2:15" ht="15.6">
      <c r="B78" s="144" t="s">
        <v>251</v>
      </c>
      <c r="C78" s="5" t="s">
        <v>256</v>
      </c>
      <c r="D78" s="149">
        <f>H27*ROUND(PI()*$D$15^2*0.25,-1)*D72*10^-3</f>
        <v>58.532636165379508</v>
      </c>
      <c r="E78" s="136" t="s">
        <v>46</v>
      </c>
      <c r="H78" s="108" t="s">
        <v>271</v>
      </c>
      <c r="I78" s="5" t="s">
        <v>256</v>
      </c>
      <c r="J78" s="149">
        <f>H34*ROUND(PI()*$D$16^2*0.25,-1)*J72*10^-3</f>
        <v>2170</v>
      </c>
      <c r="K78" s="136" t="s">
        <v>46</v>
      </c>
      <c r="L78" s="13"/>
    </row>
    <row r="79" spans="2:15" ht="15.6">
      <c r="B79" s="144" t="s">
        <v>252</v>
      </c>
      <c r="C79" s="5" t="s">
        <v>257</v>
      </c>
      <c r="D79" s="149">
        <f>H28*ROUND(PI()*$D$15^2*0.25,-1)*D73*10^-3</f>
        <v>0</v>
      </c>
      <c r="E79" s="136" t="s">
        <v>46</v>
      </c>
      <c r="H79" s="108" t="s">
        <v>272</v>
      </c>
      <c r="I79" s="5" t="s">
        <v>257</v>
      </c>
      <c r="J79" s="149">
        <f>H35*ROUND(PI()*$D$16^2*0.25,-1)*J73*10^-3</f>
        <v>0</v>
      </c>
      <c r="K79" s="136" t="s">
        <v>46</v>
      </c>
      <c r="L79" s="13"/>
    </row>
    <row r="80" spans="2:15" ht="15.6">
      <c r="B80" s="144" t="s">
        <v>253</v>
      </c>
      <c r="C80" s="5" t="s">
        <v>258</v>
      </c>
      <c r="D80" s="149">
        <f>H29*ROUND(PI()*$D$15^2*0.25,-1)*D74*10^-3</f>
        <v>0</v>
      </c>
      <c r="E80" s="136" t="s">
        <v>46</v>
      </c>
      <c r="H80" s="108" t="s">
        <v>273</v>
      </c>
      <c r="I80" s="5" t="s">
        <v>258</v>
      </c>
      <c r="J80" s="149">
        <f>H36*ROUND(PI()*$D$16^2*0.25,-1)*J74*10^-3</f>
        <v>0</v>
      </c>
      <c r="K80" s="136" t="s">
        <v>46</v>
      </c>
      <c r="L80" s="13"/>
    </row>
    <row r="81" spans="2:12" ht="15.6">
      <c r="B81" s="144" t="s">
        <v>254</v>
      </c>
      <c r="C81" s="5" t="s">
        <v>259</v>
      </c>
      <c r="D81" s="149">
        <f>H30*ROUND(PI()*$D$15^2*0.25,-1)*D75*10^-3</f>
        <v>0</v>
      </c>
      <c r="E81" s="136" t="s">
        <v>46</v>
      </c>
      <c r="H81" s="108" t="s">
        <v>274</v>
      </c>
      <c r="I81" s="5" t="s">
        <v>259</v>
      </c>
      <c r="J81" s="149">
        <f>H37*ROUND(PI()*$D$16^2*0.25,-1)*J75*10^-3</f>
        <v>0</v>
      </c>
      <c r="K81" s="136" t="s">
        <v>46</v>
      </c>
      <c r="L81" s="13"/>
    </row>
    <row r="82" spans="2:12" ht="15.6">
      <c r="B82" s="144" t="s">
        <v>255</v>
      </c>
      <c r="C82" s="5" t="s">
        <v>260</v>
      </c>
      <c r="D82" s="149">
        <f>H31*ROUND(PI()*$D$15^2*0.25,-1)*D76*10^-3</f>
        <v>0</v>
      </c>
      <c r="E82" s="136" t="s">
        <v>46</v>
      </c>
      <c r="H82" s="108" t="s">
        <v>275</v>
      </c>
      <c r="I82" s="5" t="s">
        <v>260</v>
      </c>
      <c r="J82" s="149">
        <f>H38*ROUND(PI()*$D$16^2*0.25,-1)*J76*10^-3</f>
        <v>0</v>
      </c>
      <c r="K82" s="136" t="s">
        <v>46</v>
      </c>
      <c r="L82" s="13"/>
    </row>
    <row r="83" spans="2:12" ht="15.6">
      <c r="B83" s="143"/>
      <c r="C83" s="136"/>
      <c r="D83" s="149"/>
      <c r="E83" s="136"/>
      <c r="H83" s="70"/>
      <c r="I83" s="136"/>
      <c r="J83" s="136"/>
      <c r="K83" s="136"/>
      <c r="L83" s="13"/>
    </row>
    <row r="84" spans="2:12" ht="15.6">
      <c r="B84" s="144" t="s">
        <v>276</v>
      </c>
      <c r="C84" s="5" t="s">
        <v>277</v>
      </c>
      <c r="D84" s="149">
        <f>D53*D54*D23*D9*D55*10^-3</f>
        <v>2111.4673638410604</v>
      </c>
      <c r="E84" s="136" t="s">
        <v>46</v>
      </c>
      <c r="H84" s="5" t="s">
        <v>280</v>
      </c>
      <c r="I84" s="5" t="s">
        <v>281</v>
      </c>
      <c r="J84" s="72">
        <f>SUM(J78:J82)-D35/2</f>
        <v>2170</v>
      </c>
      <c r="K84" s="10" t="s">
        <v>46</v>
      </c>
      <c r="L84" s="13"/>
    </row>
    <row r="85" spans="2:12" ht="15.6">
      <c r="B85" s="143"/>
      <c r="C85" s="136"/>
      <c r="D85" s="136"/>
      <c r="E85" s="136"/>
      <c r="L85" s="13"/>
    </row>
    <row r="86" spans="2:12" ht="15.6">
      <c r="B86" s="8" t="s">
        <v>278</v>
      </c>
      <c r="C86" s="5" t="s">
        <v>279</v>
      </c>
      <c r="D86" s="72">
        <f>D84+SUM(D78:D82)+D35/2</f>
        <v>2170.0000000064401</v>
      </c>
      <c r="E86" s="10" t="s">
        <v>46</v>
      </c>
      <c r="L86" s="13"/>
    </row>
    <row r="87" spans="2:12" ht="15" thickBot="1">
      <c r="B87" s="128"/>
      <c r="C87" s="46"/>
      <c r="D87" s="46"/>
      <c r="E87" s="46"/>
      <c r="F87" s="46"/>
      <c r="G87" s="46"/>
      <c r="H87" s="46"/>
      <c r="I87" s="46"/>
      <c r="J87" s="46"/>
      <c r="K87" s="46"/>
      <c r="L87" s="47"/>
    </row>
    <row r="88" spans="2:12" ht="15" thickBot="1"/>
    <row r="89" spans="2:12" ht="18.600000000000001" thickBot="1">
      <c r="B89" s="1" t="s">
        <v>92</v>
      </c>
      <c r="C89" s="2"/>
      <c r="L89" s="19"/>
    </row>
    <row r="90" spans="2:12" ht="15" thickBot="1"/>
    <row r="91" spans="2:12" ht="15.6">
      <c r="B91" s="37" t="s">
        <v>99</v>
      </c>
      <c r="C91" s="6"/>
      <c r="D91" s="6"/>
      <c r="E91" s="6"/>
      <c r="F91" s="7"/>
    </row>
    <row r="92" spans="2:12">
      <c r="B92" s="44" t="s">
        <v>100</v>
      </c>
      <c r="F92" s="13"/>
    </row>
    <row r="93" spans="2:12" ht="15" thickBot="1">
      <c r="B93" s="122" t="s">
        <v>109</v>
      </c>
      <c r="C93" s="46"/>
      <c r="D93" s="46"/>
      <c r="E93" s="46"/>
      <c r="F93" s="47"/>
    </row>
    <row r="94" spans="2:12" ht="15" thickBot="1"/>
    <row r="95" spans="2:12" ht="15.75" customHeight="1">
      <c r="B95" s="37" t="s">
        <v>172</v>
      </c>
      <c r="C95" s="21"/>
      <c r="D95" s="21"/>
      <c r="E95" s="21"/>
      <c r="F95" s="22"/>
      <c r="H95" s="37" t="s">
        <v>173</v>
      </c>
      <c r="I95" s="21"/>
      <c r="J95" s="21"/>
      <c r="K95" s="21"/>
      <c r="L95" s="22"/>
    </row>
    <row r="96" spans="2:12" ht="15.75" customHeight="1">
      <c r="B96" s="8" t="s">
        <v>125</v>
      </c>
      <c r="C96" s="5" t="s">
        <v>114</v>
      </c>
      <c r="D96" s="10">
        <f>'PC-S1_DDR1 (2)'!D8*'PC-S1_DDR1 (2)'!D9</f>
        <v>250000</v>
      </c>
      <c r="E96" s="10" t="s">
        <v>56</v>
      </c>
      <c r="F96" s="11" t="s">
        <v>93</v>
      </c>
      <c r="H96" s="8" t="s">
        <v>125</v>
      </c>
      <c r="I96" s="5" t="s">
        <v>114</v>
      </c>
      <c r="J96" s="10">
        <f>'PC-S1_DDR1 (2)'!D8*'PC-S1_DDR1 (2)'!D9</f>
        <v>250000</v>
      </c>
      <c r="K96" s="10" t="s">
        <v>56</v>
      </c>
      <c r="L96" s="11" t="s">
        <v>93</v>
      </c>
    </row>
    <row r="97" spans="2:12" ht="15.6">
      <c r="B97" s="8" t="s">
        <v>126</v>
      </c>
      <c r="C97" s="5" t="s">
        <v>115</v>
      </c>
      <c r="D97" s="10">
        <f>2*'PC-S1_DDR1 (2)'!D8+2*'PC-S1_DDR1 (2)'!D9</f>
        <v>2500</v>
      </c>
      <c r="E97" s="10" t="s">
        <v>2</v>
      </c>
      <c r="F97" s="11" t="s">
        <v>93</v>
      </c>
      <c r="H97" s="8" t="s">
        <v>126</v>
      </c>
      <c r="I97" s="5" t="s">
        <v>115</v>
      </c>
      <c r="J97" s="10">
        <f>2*'PC-S1_DDR1 (2)'!D8+2*'PC-S1_DDR1 (2)'!D9</f>
        <v>2500</v>
      </c>
      <c r="K97" s="10" t="s">
        <v>2</v>
      </c>
      <c r="L97" s="11" t="s">
        <v>93</v>
      </c>
    </row>
    <row r="98" spans="2:12" ht="15.6">
      <c r="B98" s="8" t="s">
        <v>94</v>
      </c>
      <c r="C98" s="5" t="s">
        <v>116</v>
      </c>
      <c r="D98" s="60">
        <f>0.33*SQRT('PC-S1_DDR1 (2)'!D23)*((D96^2)/(D97))*SQRT(1)*10^-6</f>
        <v>58.336309447890173</v>
      </c>
      <c r="E98" s="50" t="s">
        <v>40</v>
      </c>
      <c r="F98" s="11" t="s">
        <v>93</v>
      </c>
      <c r="H98" s="8" t="s">
        <v>94</v>
      </c>
      <c r="I98" s="5" t="s">
        <v>116</v>
      </c>
      <c r="J98" s="60">
        <f>0.33*SQRT('PC-S1_DDR1 (2)'!D23)*((J96^2)/(J97))*SQRT(1)*10^-6</f>
        <v>58.336309447890173</v>
      </c>
      <c r="K98" s="50" t="s">
        <v>40</v>
      </c>
      <c r="L98" s="11" t="s">
        <v>93</v>
      </c>
    </row>
    <row r="99" spans="2:12" ht="15.6">
      <c r="B99" s="8" t="s">
        <v>95</v>
      </c>
      <c r="C99" s="5"/>
      <c r="D99" s="57" t="str">
        <f>IF(0.25*'PC-S1_DDR1 (2)'!D31*D98&gt;'PC-S1_DDR1 (2)'!D37,"Pass","Fail")</f>
        <v>Pass</v>
      </c>
      <c r="E99" s="51"/>
      <c r="F99" s="11" t="s">
        <v>96</v>
      </c>
      <c r="H99" s="8" t="s">
        <v>95</v>
      </c>
      <c r="I99" s="5"/>
      <c r="J99" s="57" t="str">
        <f>IF(0.25*'PC-S1_DDR1 (2)'!D31*J98&gt;'PC-S1_DDR1 (2)'!D37,"Pass","Fail")</f>
        <v>Pass</v>
      </c>
      <c r="K99" s="51"/>
      <c r="L99" s="11" t="s">
        <v>96</v>
      </c>
    </row>
    <row r="100" spans="2:12" ht="15.6">
      <c r="B100" s="8" t="s">
        <v>101</v>
      </c>
      <c r="C100" s="5" t="s">
        <v>117</v>
      </c>
      <c r="D100" s="60">
        <f>ROUND(PI()*'PC-S1_DDR1 (2)'!D21^2/4,-1)*2</f>
        <v>400</v>
      </c>
      <c r="E100" s="10" t="s">
        <v>56</v>
      </c>
      <c r="F100" s="11" t="s">
        <v>108</v>
      </c>
      <c r="H100" s="8" t="s">
        <v>101</v>
      </c>
      <c r="I100" s="5" t="s">
        <v>117</v>
      </c>
      <c r="J100" s="60">
        <f>ROUND(PI()*'PC-S1_DDR1 (2)'!D21^2/4,-1)*2</f>
        <v>400</v>
      </c>
      <c r="K100" s="10" t="s">
        <v>56</v>
      </c>
      <c r="L100" s="11" t="s">
        <v>108</v>
      </c>
    </row>
    <row r="101" spans="2:12" ht="15.6">
      <c r="B101" s="8" t="s">
        <v>107</v>
      </c>
      <c r="C101" s="5" t="s">
        <v>118</v>
      </c>
      <c r="D101" s="49">
        <f>MAX('PC-S1_DDR1 (2)'!D8:D9)-'PC-S1_DDR1 (2)'!D13-'PC-S1_DDR1 (2)'!D14-'PC-S1_DDR1 (2)'!D21</f>
        <v>889</v>
      </c>
      <c r="E101" s="10" t="s">
        <v>2</v>
      </c>
      <c r="F101" s="11" t="s">
        <v>108</v>
      </c>
      <c r="H101" s="8" t="s">
        <v>107</v>
      </c>
      <c r="I101" s="5" t="s">
        <v>118</v>
      </c>
      <c r="J101" s="49">
        <f>MAX('PC-S1_DDR1 (2)'!D8:D9)-'PC-S1_DDR1 (2)'!D13-'PC-S1_DDR1 (2)'!D14-'PC-S1_DDR1 (2)'!D21</f>
        <v>889</v>
      </c>
      <c r="K101" s="10" t="s">
        <v>2</v>
      </c>
      <c r="L101" s="11" t="s">
        <v>108</v>
      </c>
    </row>
    <row r="102" spans="2:12" ht="15.6">
      <c r="B102" s="8" t="s">
        <v>79</v>
      </c>
      <c r="C102" s="15" t="s">
        <v>80</v>
      </c>
      <c r="D102" s="60">
        <f>IF(D149="Simplified Method",36,D159)</f>
        <v>31.838366890380314</v>
      </c>
      <c r="E102" s="10" t="s">
        <v>81</v>
      </c>
      <c r="F102" s="11" t="s">
        <v>122</v>
      </c>
      <c r="H102" s="8" t="s">
        <v>79</v>
      </c>
      <c r="I102" s="15" t="s">
        <v>80</v>
      </c>
      <c r="J102" s="60">
        <f>IF(J149="Simplified Method",36,J159)</f>
        <v>29.392400952587138</v>
      </c>
      <c r="K102" s="10" t="s">
        <v>81</v>
      </c>
      <c r="L102" s="11" t="s">
        <v>122</v>
      </c>
    </row>
    <row r="103" spans="2:12" ht="30">
      <c r="B103" s="63" t="s">
        <v>110</v>
      </c>
      <c r="C103" s="64" t="s">
        <v>111</v>
      </c>
      <c r="D103" s="64">
        <f>D101*(MIN('PC-S1_DDR1 (2)'!D8:D9)-'PC-S1_DDR1 (2)'!D13-'PC-S1_DDR1 (2)'!D14-'PC-S1_DDR1 (2)'!D18)</f>
        <v>123571</v>
      </c>
      <c r="E103" s="65" t="s">
        <v>56</v>
      </c>
      <c r="F103" s="66" t="s">
        <v>119</v>
      </c>
      <c r="H103" s="63" t="s">
        <v>110</v>
      </c>
      <c r="I103" s="64" t="s">
        <v>111</v>
      </c>
      <c r="J103" s="64">
        <f>J101*(MIN('PC-S1_DDR1 (2)'!D8:D9)-'PC-S1_DDR1 (2)'!D13-'PC-S1_DDR1 (2)'!D14-'PC-S1_DDR1 (2)'!D18)</f>
        <v>123571</v>
      </c>
      <c r="K103" s="65" t="s">
        <v>56</v>
      </c>
      <c r="L103" s="66" t="s">
        <v>119</v>
      </c>
    </row>
    <row r="104" spans="2:12" ht="15.6">
      <c r="B104" s="8" t="s">
        <v>112</v>
      </c>
      <c r="C104" s="5" t="s">
        <v>113</v>
      </c>
      <c r="D104" s="60">
        <f>2*D103*((D100*'PC-S1_DDR1 (2)'!D26)/'PC-S1_DDR1 (2)'!D19)*_xlfn.COT(RADIANS(D102))*10^-6</f>
        <v>398.00390286119512</v>
      </c>
      <c r="E104" s="10" t="s">
        <v>40</v>
      </c>
      <c r="F104" s="11" t="s">
        <v>119</v>
      </c>
      <c r="H104" s="8" t="s">
        <v>112</v>
      </c>
      <c r="I104" s="5" t="s">
        <v>113</v>
      </c>
      <c r="J104" s="60">
        <f>2*J103*((J100*'PC-S1_DDR1 (2)'!D26)/'PC-S1_DDR1 (2)'!D19)*_xlfn.COT(RADIANS(J102))*10^-6</f>
        <v>438.74243915362388</v>
      </c>
      <c r="K104" s="10" t="s">
        <v>40</v>
      </c>
      <c r="L104" s="11" t="s">
        <v>119</v>
      </c>
    </row>
    <row r="105" spans="2:12" ht="16.2" thickBot="1">
      <c r="B105" s="38" t="s">
        <v>121</v>
      </c>
      <c r="C105" s="39" t="s">
        <v>52</v>
      </c>
      <c r="D105" s="59" t="str">
        <f>IF(OR(D98&lt;=D104,(D100/'PC-S1_DDR1 (2)'!D19)&gt;=(0.2*D101/'PC-S1_DDR1 (2)'!D26)),"Pass","Fail")</f>
        <v>Pass</v>
      </c>
      <c r="E105" s="46"/>
      <c r="F105" s="43" t="s">
        <v>108</v>
      </c>
      <c r="H105" s="38" t="s">
        <v>121</v>
      </c>
      <c r="I105" s="39" t="s">
        <v>52</v>
      </c>
      <c r="J105" s="59" t="str">
        <f>IF(OR(J98&lt;=J104,(J100/'PC-S1_DDR1 (2)'!D19)&gt;=(0.2*J101/'PC-S1_DDR1 (2)'!D26)),"Pass","Fail")</f>
        <v>Pass</v>
      </c>
      <c r="K105" s="46"/>
      <c r="L105" s="43" t="s">
        <v>108</v>
      </c>
    </row>
    <row r="106" spans="2:12" ht="15" thickBot="1"/>
    <row r="107" spans="2:12" ht="18.600000000000001" thickBot="1">
      <c r="B107" s="1" t="s">
        <v>98</v>
      </c>
      <c r="C107" s="2"/>
      <c r="H107" s="1" t="s">
        <v>234</v>
      </c>
      <c r="L107" s="19"/>
    </row>
    <row r="108" spans="2:12" ht="15" thickBot="1"/>
    <row r="109" spans="2:12" ht="15.6">
      <c r="B109" s="37" t="s">
        <v>99</v>
      </c>
      <c r="C109" s="6"/>
      <c r="D109" s="6"/>
      <c r="E109" s="6"/>
      <c r="F109" s="7"/>
      <c r="H109" s="125" t="s">
        <v>222</v>
      </c>
      <c r="I109" s="6"/>
      <c r="J109" s="6"/>
      <c r="K109" s="6"/>
      <c r="L109" s="7"/>
    </row>
    <row r="110" spans="2:12">
      <c r="B110" s="44" t="s">
        <v>100</v>
      </c>
      <c r="F110" s="13"/>
      <c r="H110" s="126" t="s">
        <v>223</v>
      </c>
      <c r="L110" s="13"/>
    </row>
    <row r="111" spans="2:12">
      <c r="B111" s="44" t="s">
        <v>109</v>
      </c>
      <c r="F111" s="13"/>
      <c r="H111" s="155" t="s">
        <v>323</v>
      </c>
      <c r="L111" s="13"/>
    </row>
    <row r="112" spans="2:12">
      <c r="B112" s="44" t="s">
        <v>120</v>
      </c>
      <c r="F112" s="13"/>
      <c r="H112" s="127"/>
      <c r="L112" s="13"/>
    </row>
    <row r="113" spans="2:12">
      <c r="B113" s="44" t="s">
        <v>233</v>
      </c>
      <c r="F113" s="13"/>
      <c r="H113" s="127"/>
      <c r="L113" s="13"/>
    </row>
    <row r="114" spans="2:12" ht="15" thickBot="1">
      <c r="B114" s="154" t="s">
        <v>144</v>
      </c>
      <c r="C114" s="46"/>
      <c r="D114" s="46"/>
      <c r="E114" s="46"/>
      <c r="F114" s="47"/>
      <c r="H114" s="128"/>
      <c r="I114" s="46"/>
      <c r="J114" s="46"/>
      <c r="K114" s="46"/>
      <c r="L114" s="47"/>
    </row>
    <row r="117" spans="2:12" ht="15" thickBot="1"/>
    <row r="118" spans="2:12" ht="15.6">
      <c r="B118" s="37" t="s">
        <v>172</v>
      </c>
      <c r="C118" s="21"/>
      <c r="D118" s="21"/>
      <c r="E118" s="21"/>
      <c r="F118" s="22"/>
      <c r="H118" s="37" t="s">
        <v>173</v>
      </c>
      <c r="I118" s="21"/>
      <c r="J118" s="21"/>
      <c r="K118" s="21"/>
      <c r="L118" s="22"/>
    </row>
    <row r="119" spans="2:12" ht="15.6">
      <c r="B119" s="8" t="s">
        <v>106</v>
      </c>
      <c r="C119" s="5" t="s">
        <v>105</v>
      </c>
      <c r="D119" s="49">
        <f>0.85*J103</f>
        <v>105035.34999999999</v>
      </c>
      <c r="E119" t="s">
        <v>56</v>
      </c>
      <c r="F119" s="11" t="s">
        <v>137</v>
      </c>
      <c r="H119" s="8" t="s">
        <v>106</v>
      </c>
      <c r="I119" s="5" t="s">
        <v>105</v>
      </c>
      <c r="J119" s="49">
        <f>0.85*D103</f>
        <v>105035.34999999999</v>
      </c>
      <c r="K119" t="s">
        <v>56</v>
      </c>
      <c r="L119" s="11" t="s">
        <v>137</v>
      </c>
    </row>
    <row r="120" spans="2:12" ht="15.6">
      <c r="B120" s="8" t="s">
        <v>44</v>
      </c>
      <c r="C120" s="5" t="s">
        <v>104</v>
      </c>
      <c r="D120" s="49">
        <f>SQRT(('PC-S1_DDR1 (2)'!D36^2)+((0.9*'PC-S1_DDR1 (2)'!D37*(D127/1000))/(2*D119*10^-6))^2)</f>
        <v>48.65771812080537</v>
      </c>
      <c r="E120" t="s">
        <v>46</v>
      </c>
      <c r="F120" s="11"/>
      <c r="H120" s="8" t="s">
        <v>44</v>
      </c>
      <c r="I120" s="5" t="s">
        <v>320</v>
      </c>
      <c r="J120" s="49">
        <f>SQRT(('PC-S1_DDR1 (2)'!D36^2)+((0.9*'PC-S1_DDR1 (2)'!D37*(J127/1000))/(2*J119*10^-6))^2)</f>
        <v>48.65771812080537</v>
      </c>
      <c r="K120" t="s">
        <v>46</v>
      </c>
      <c r="L120" s="11"/>
    </row>
    <row r="121" spans="2:12" ht="15.6">
      <c r="B121" s="8" t="s">
        <v>128</v>
      </c>
      <c r="C121" s="5" t="s">
        <v>127</v>
      </c>
      <c r="D121" s="10">
        <f>'PC-S1_DDR1 (2)'!D9</f>
        <v>1000</v>
      </c>
      <c r="E121" s="50" t="s">
        <v>129</v>
      </c>
      <c r="F121" s="11" t="s">
        <v>130</v>
      </c>
      <c r="H121" s="8" t="s">
        <v>128</v>
      </c>
      <c r="I121" s="5" t="s">
        <v>127</v>
      </c>
      <c r="J121" s="10">
        <f>'PC-S1_DDR1 (2)'!D9</f>
        <v>1000</v>
      </c>
      <c r="K121" s="50" t="s">
        <v>129</v>
      </c>
      <c r="L121" s="11" t="s">
        <v>130</v>
      </c>
    </row>
    <row r="122" spans="2:12" ht="15.6">
      <c r="B122" s="8" t="s">
        <v>132</v>
      </c>
      <c r="C122" s="5" t="s">
        <v>133</v>
      </c>
      <c r="D122" s="10">
        <f>MAX(0.72*'PC-S1_DDR1 (2)'!D8,0.9*'PC-S1_DDR1 (2)'!D11)</f>
        <v>180</v>
      </c>
      <c r="E122" s="10" t="s">
        <v>2</v>
      </c>
      <c r="F122" s="11" t="s">
        <v>21</v>
      </c>
      <c r="H122" s="8" t="s">
        <v>132</v>
      </c>
      <c r="I122" s="5" t="s">
        <v>133</v>
      </c>
      <c r="J122" s="10">
        <f>MAX(0.72*'PC-S1_DDR1 (2)'!D8,0.9*'PC-S1_DDR1 (2)'!D11)</f>
        <v>180</v>
      </c>
      <c r="K122" s="10" t="s">
        <v>2</v>
      </c>
      <c r="L122" s="11" t="s">
        <v>319</v>
      </c>
    </row>
    <row r="123" spans="2:12" ht="15.6">
      <c r="B123" s="8" t="s">
        <v>83</v>
      </c>
      <c r="C123" s="5" t="s">
        <v>84</v>
      </c>
      <c r="D123" s="49">
        <f>0.08*SQRT('PC-S1_DDR1 (2)'!D23)*D121/'PC-S1_DDR1 (2)'!D26*'PC-S1_DDR1 (2)'!D19</f>
        <v>226.27416997969522</v>
      </c>
      <c r="E123" s="10" t="s">
        <v>56</v>
      </c>
      <c r="F123" s="11" t="s">
        <v>131</v>
      </c>
      <c r="H123" s="8" t="s">
        <v>83</v>
      </c>
      <c r="I123" s="5" t="s">
        <v>84</v>
      </c>
      <c r="J123" s="49">
        <f>0.08*SQRT('PC-S1_DDR1 (2)'!D23)*J121/'PC-S1_DDR1 (2)'!D26*'PC-S1_DDR1 (2)'!D19</f>
        <v>226.27416997969522</v>
      </c>
      <c r="K123" s="10" t="s">
        <v>56</v>
      </c>
      <c r="L123" s="11" t="s">
        <v>131</v>
      </c>
    </row>
    <row r="124" spans="2:12" ht="15.6">
      <c r="B124" s="8" t="s">
        <v>141</v>
      </c>
      <c r="C124" s="5" t="s">
        <v>82</v>
      </c>
      <c r="D124" s="10">
        <f>(ROUND(PI()*'PC-S1_DDR1 (2)'!D18^2/4,-1))*'PC-S1_DDR1 (2)'!D20</f>
        <v>400</v>
      </c>
      <c r="E124" t="s">
        <v>56</v>
      </c>
      <c r="F124" s="13"/>
      <c r="H124" s="8" t="s">
        <v>141</v>
      </c>
      <c r="I124" s="5" t="s">
        <v>82</v>
      </c>
      <c r="J124" s="10">
        <f>(ROUND(PI()*'PC-S1_DDR1 (2)'!D18^2/4,-1))*'PC-S1_DDR1 (2)'!D20</f>
        <v>400</v>
      </c>
      <c r="K124" s="10" t="s">
        <v>56</v>
      </c>
      <c r="L124" s="13"/>
    </row>
    <row r="125" spans="2:12" ht="15.6">
      <c r="B125" s="8" t="s">
        <v>85</v>
      </c>
      <c r="C125" s="5" t="s">
        <v>52</v>
      </c>
      <c r="D125" s="57" t="str">
        <f>IF(D124&gt;D123,"Pass","Fail")</f>
        <v>Pass</v>
      </c>
      <c r="F125" s="14"/>
      <c r="H125" s="8" t="s">
        <v>85</v>
      </c>
      <c r="I125" s="5" t="s">
        <v>52</v>
      </c>
      <c r="J125" s="57" t="str">
        <f>IF(J124&gt;J123,"Pass","Fail")</f>
        <v>Pass</v>
      </c>
      <c r="L125" s="14"/>
    </row>
    <row r="126" spans="2:12" ht="15.6">
      <c r="B126" s="8" t="s">
        <v>75</v>
      </c>
      <c r="C126" s="5" t="s">
        <v>76</v>
      </c>
      <c r="D126" s="61">
        <f>0.55*(0.9*'PC-S1_DDR1 (2)'!D23*D121*D122*(((_xlfn.COT(RADIANS(J102)))+0)/(1+(_xlfn.COT(RADIANS(J102)))^2)))*10^-3*IF(D125="Pass",0.75,0.7)</f>
        <v>1428.7633059717309</v>
      </c>
      <c r="E126" s="50" t="s">
        <v>46</v>
      </c>
      <c r="F126" s="11" t="s">
        <v>135</v>
      </c>
      <c r="H126" s="8" t="s">
        <v>75</v>
      </c>
      <c r="I126" s="5" t="s">
        <v>76</v>
      </c>
      <c r="J126" s="61">
        <f>0.55*(0.9*'PC-S1_DDR1 (2)'!D23*J121*J122*(((_xlfn.COT(RADIANS(D102)))+0)/(1+(_xlfn.COT(RADIANS(D102)))^2)))*10^-3*IF(J125="Pass",0.75,0.7)</f>
        <v>1497.3919423375783</v>
      </c>
      <c r="K126" s="50" t="s">
        <v>46</v>
      </c>
      <c r="L126" s="11" t="s">
        <v>135</v>
      </c>
    </row>
    <row r="127" spans="2:12" ht="15.6">
      <c r="B127" s="52" t="s">
        <v>316</v>
      </c>
      <c r="C127" s="48"/>
      <c r="D127" s="62">
        <f>J101*2+(MIN('PC-S1_DDR1 (2)'!D8:D9)-'PC-S1_DDR1 (2)'!D14-'PC-S1_DDR1 (2)'!D14-'PC-S1_DDR1 (2)'!D21)*2</f>
        <v>1986</v>
      </c>
      <c r="E127" t="s">
        <v>2</v>
      </c>
      <c r="F127" s="55" t="s">
        <v>179</v>
      </c>
      <c r="H127" s="52" t="s">
        <v>322</v>
      </c>
      <c r="I127" s="33"/>
      <c r="J127" s="62">
        <f>D101*2+(MIN('PC-S1_DDR1 (2)'!D8:D9)-'PC-S1_DDR1 (2)'!D13-'PC-S1_DDR1 (2)'!D14-'PC-S1_DDR1 (2)'!D21)*2</f>
        <v>2056</v>
      </c>
      <c r="K127" s="50" t="s">
        <v>2</v>
      </c>
      <c r="L127" s="55" t="s">
        <v>179</v>
      </c>
    </row>
    <row r="128" spans="2:12" ht="15.6">
      <c r="B128" s="53"/>
      <c r="C128" s="54" t="s">
        <v>136</v>
      </c>
      <c r="D128" s="58" t="str">
        <f>IF(D126*1000/(D121*D122)&gt;=SQRT((('PC-S1_DDR1 (2)'!D36*1000/(D121*D122))^2)+(('PC-S1_DDR1 (2)'!D37*1000000*D127)/(1.7*J103^2))^2),"Pass","Fail")</f>
        <v>Pass</v>
      </c>
      <c r="E128" s="10"/>
      <c r="F128" s="55" t="s">
        <v>179</v>
      </c>
      <c r="H128" s="53"/>
      <c r="I128" s="54" t="s">
        <v>136</v>
      </c>
      <c r="J128" s="58" t="str">
        <f>IF(J126*1000/(J121*J122)&gt;=SQRT((('PC-S1_DDR1 (2)'!D36*1000/(J121*J122))^2)+(('PC-S1_DDR1 (2)'!D37*1000000*J127)/(1.7*D103^2))^2),"Pass","Fail")</f>
        <v>Pass</v>
      </c>
      <c r="K128" s="10"/>
      <c r="L128" s="55" t="s">
        <v>179</v>
      </c>
    </row>
    <row r="129" spans="2:12" ht="15.6">
      <c r="B129" s="8" t="s">
        <v>138</v>
      </c>
      <c r="C129" s="5" t="s">
        <v>139</v>
      </c>
      <c r="D129" s="56">
        <f>IF(D149="Simplified Method",0.15,D158)</f>
        <v>0.24872196139801772</v>
      </c>
      <c r="E129" s="10"/>
      <c r="F129" s="11" t="s">
        <v>140</v>
      </c>
      <c r="H129" s="8" t="s">
        <v>138</v>
      </c>
      <c r="I129" s="5" t="s">
        <v>139</v>
      </c>
      <c r="J129" s="56">
        <f>IF(J149="Simplified Method",0.15,J158)</f>
        <v>0.36897444492785664</v>
      </c>
      <c r="K129" s="10"/>
      <c r="L129" s="11" t="s">
        <v>140</v>
      </c>
    </row>
    <row r="130" spans="2:12" ht="15.6">
      <c r="B130" s="8" t="s">
        <v>77</v>
      </c>
      <c r="C130" s="5" t="s">
        <v>78</v>
      </c>
      <c r="D130" s="61">
        <f>D129*D121*D122*SQRT('PC-S1_DDR1 (2)'!D23)*10^-3*IF(J125="Pass",0.75,0.7)</f>
        <v>237.42853047165204</v>
      </c>
      <c r="E130" s="10" t="s">
        <v>46</v>
      </c>
      <c r="F130" s="11" t="s">
        <v>142</v>
      </c>
      <c r="H130" s="8" t="s">
        <v>77</v>
      </c>
      <c r="I130" s="5" t="s">
        <v>78</v>
      </c>
      <c r="J130" s="61">
        <f>J129*J121*J122*SQRT('PC-S1_DDR1 (2)'!D23)*10^-3*IF(J125="Pass",0.75,0.7)</f>
        <v>352.22084832559017</v>
      </c>
      <c r="K130" s="10" t="s">
        <v>46</v>
      </c>
      <c r="L130" s="11" t="s">
        <v>142</v>
      </c>
    </row>
    <row r="131" spans="2:12" ht="15.6">
      <c r="B131" s="8" t="s">
        <v>86</v>
      </c>
      <c r="C131" s="5" t="s">
        <v>87</v>
      </c>
      <c r="D131" s="61">
        <f>((D124*'PC-S1_DDR1 (2)'!D26*D122/'PC-S1_DDR1 (2)'!D19)*_xlfn.COT(RADIANS(J102)))*10^-3*IF(J125="Pass",0.75,0.7)</f>
        <v>239.66071847658117</v>
      </c>
      <c r="E131" s="10" t="s">
        <v>46</v>
      </c>
      <c r="F131" s="11" t="s">
        <v>88</v>
      </c>
      <c r="H131" s="8" t="s">
        <v>86</v>
      </c>
      <c r="I131" s="5" t="s">
        <v>87</v>
      </c>
      <c r="J131" s="61">
        <f>((J124*'PC-S1_DDR1 (2)'!D26*J122/'PC-S1_DDR1 (2)'!D19)*_xlfn.COT(RADIANS(D102)))*10^-3*IF(J125="Pass",0.75,0.7)</f>
        <v>217.40751020167085</v>
      </c>
      <c r="K131" s="10" t="s">
        <v>46</v>
      </c>
      <c r="L131" s="11" t="s">
        <v>88</v>
      </c>
    </row>
    <row r="132" spans="2:12" ht="15.6">
      <c r="B132" s="8" t="s">
        <v>89</v>
      </c>
      <c r="C132" s="15" t="s">
        <v>90</v>
      </c>
      <c r="D132" s="72">
        <f>(D130+D131)</f>
        <v>477.08924894823321</v>
      </c>
      <c r="E132" s="10" t="s">
        <v>46</v>
      </c>
      <c r="F132" s="11" t="s">
        <v>91</v>
      </c>
      <c r="H132" s="8" t="s">
        <v>89</v>
      </c>
      <c r="I132" s="15" t="s">
        <v>90</v>
      </c>
      <c r="J132" s="72">
        <f>(J130+J131)</f>
        <v>569.62835852726107</v>
      </c>
      <c r="K132" s="10" t="s">
        <v>46</v>
      </c>
      <c r="L132" s="11" t="s">
        <v>91</v>
      </c>
    </row>
    <row r="133" spans="2:12" ht="15.6">
      <c r="B133" s="8" t="s">
        <v>143</v>
      </c>
      <c r="C133" s="5" t="s">
        <v>52</v>
      </c>
      <c r="D133" s="57" t="str">
        <f>IF(D132&gt;D120,"Pass","Fail")</f>
        <v>Pass</v>
      </c>
      <c r="E133" s="10"/>
      <c r="F133" s="14"/>
      <c r="H133" s="8" t="s">
        <v>143</v>
      </c>
      <c r="I133" s="5" t="s">
        <v>52</v>
      </c>
      <c r="J133" s="57" t="str">
        <f>IF(J132&gt;J120,"Pass","Fail")</f>
        <v>Pass</v>
      </c>
      <c r="K133" s="10"/>
      <c r="L133" s="14"/>
    </row>
    <row r="134" spans="2:12" ht="15.6">
      <c r="B134" s="8" t="s">
        <v>203</v>
      </c>
      <c r="C134" s="5" t="s">
        <v>204</v>
      </c>
      <c r="D134" s="61">
        <f>0.5*(D36+D130)*_xlfn.COT(RADIANS(J102))+0.5*D37*(D127/(2*D119))*10^-3*_xlfn.COT(RADIANS(D102))</f>
        <v>253.9393921627339</v>
      </c>
      <c r="E134" s="10" t="s">
        <v>46</v>
      </c>
      <c r="F134" s="11" t="s">
        <v>205</v>
      </c>
      <c r="H134" s="8" t="s">
        <v>203</v>
      </c>
      <c r="I134" s="5" t="s">
        <v>204</v>
      </c>
      <c r="J134" s="61">
        <f>0.5*(D36+J130)*_xlfn.COT(RADIANS(D102))+0.5*D37*(J127/(2*J119))*10^-3*_xlfn.COT(RADIANS(D102))</f>
        <v>322.79263342342938</v>
      </c>
      <c r="K134" s="10" t="s">
        <v>46</v>
      </c>
      <c r="L134" s="11" t="s">
        <v>205</v>
      </c>
    </row>
    <row r="135" spans="2:12" ht="15.6">
      <c r="B135" s="8" t="s">
        <v>206</v>
      </c>
      <c r="C135" s="5" t="s">
        <v>207</v>
      </c>
      <c r="D135" s="61">
        <f>(J55*'PC-S1_DDR1 (2)'!D54*'PC-S1_DDR1 (2)'!J53)+('PC-S1_DDR1 (2)'!J53-J55*'PC-S1_DDR1 (2)'!J53)</f>
        <v>183.36101994081778</v>
      </c>
      <c r="E135" s="10" t="s">
        <v>2</v>
      </c>
      <c r="F135" s="11" t="s">
        <v>208</v>
      </c>
      <c r="H135" s="8" t="s">
        <v>206</v>
      </c>
      <c r="I135" s="5" t="s">
        <v>207</v>
      </c>
      <c r="J135" s="61">
        <f>('PC-S1_DDR1 (2)'!J55*'PC-S1_DDR1 (2)'!D54*'PC-S1_DDR1 (2)'!D50)+('PC-S1_DDR1 (2)'!D50-'PC-S1_DDR1 (2)'!J55*'PC-S1_DDR1 (2)'!D50)</f>
        <v>145.00488821850385</v>
      </c>
      <c r="K135" s="10" t="s">
        <v>2</v>
      </c>
      <c r="L135" s="11" t="s">
        <v>208</v>
      </c>
    </row>
    <row r="136" spans="2:12" ht="15.6">
      <c r="B136" s="8" t="s">
        <v>209</v>
      </c>
      <c r="C136" s="5" t="s">
        <v>210</v>
      </c>
      <c r="D136" s="61">
        <f>(D34/(D135/1000))+(-'PC-S1_DDR1 (2)'!D35/2)+D134</f>
        <v>253.9393921627339</v>
      </c>
      <c r="E136" s="10" t="s">
        <v>46</v>
      </c>
      <c r="F136" s="11" t="s">
        <v>211</v>
      </c>
      <c r="H136" s="8" t="s">
        <v>209</v>
      </c>
      <c r="I136" s="5" t="s">
        <v>210</v>
      </c>
      <c r="J136" s="61">
        <f>(D33/(J135/1000))+(-'PC-S1_DDR1 (2)'!D35/2)+J134</f>
        <v>695.37900827840895</v>
      </c>
      <c r="K136" s="10" t="s">
        <v>46</v>
      </c>
      <c r="L136" s="11" t="s">
        <v>211</v>
      </c>
    </row>
    <row r="137" spans="2:12" ht="15.6">
      <c r="B137" s="8" t="s">
        <v>212</v>
      </c>
      <c r="C137" s="5" t="s">
        <v>213</v>
      </c>
      <c r="D137" s="56">
        <f>'PC-S1_DDR1 (2)'!D30+((0.85-'PC-S1_DDR1 (2)'!D30)*(D136/('PC-S1_DDR1 (2)'!D52*'PC-S1_DDR1 (2)'!D25*10^-3)))</f>
        <v>0.84232323202712234</v>
      </c>
      <c r="E137" s="10"/>
      <c r="F137" s="11" t="s">
        <v>214</v>
      </c>
      <c r="H137" s="8" t="s">
        <v>212</v>
      </c>
      <c r="I137" s="5" t="s">
        <v>213</v>
      </c>
      <c r="J137" s="56">
        <f>'PC-S1_DDR1 (2)'!D30+((0.85-'PC-S1_DDR1 (2)'!D30)*(J136/('PC-S1_DDR1 (2)'!D51*'PC-S1_DDR1 (2)'!D25*10^-3)))</f>
        <v>0.81602255779443345</v>
      </c>
      <c r="K137" s="10"/>
      <c r="L137" s="11" t="s">
        <v>214</v>
      </c>
    </row>
    <row r="138" spans="2:12" ht="15.6">
      <c r="B138" s="8" t="s">
        <v>215</v>
      </c>
      <c r="C138" s="5" t="s">
        <v>55</v>
      </c>
      <c r="D138" s="61">
        <f>((D136*1000)/D137)/'PC-S1_DDR1 (2)'!D24</f>
        <v>602.9499899975624</v>
      </c>
      <c r="E138" s="10" t="s">
        <v>56</v>
      </c>
      <c r="F138" s="11" t="s">
        <v>211</v>
      </c>
      <c r="H138" s="8" t="s">
        <v>215</v>
      </c>
      <c r="I138" s="5" t="s">
        <v>55</v>
      </c>
      <c r="J138" s="61">
        <f>((J136*1000)/J137)/'PC-S1_DDR1 (2)'!D24</f>
        <v>1704.3131997671658</v>
      </c>
      <c r="K138" s="10" t="s">
        <v>56</v>
      </c>
      <c r="L138" s="11" t="s">
        <v>211</v>
      </c>
    </row>
    <row r="139" spans="2:12" ht="15.6">
      <c r="B139" s="8" t="s">
        <v>216</v>
      </c>
      <c r="C139" s="5"/>
      <c r="D139" s="58" t="str">
        <f>IF(D138&lt;D152,"Pass","Fail")</f>
        <v>Fail</v>
      </c>
      <c r="E139" s="114"/>
      <c r="F139" s="13"/>
      <c r="H139" s="8" t="s">
        <v>216</v>
      </c>
      <c r="I139" s="5"/>
      <c r="J139" s="58" t="str">
        <f>IF(J138&lt;J152,"Pass","Fail")</f>
        <v>Pass</v>
      </c>
      <c r="K139" s="114"/>
      <c r="L139" s="13"/>
    </row>
    <row r="140" spans="2:12" ht="15.6">
      <c r="B140" s="178" t="s">
        <v>228</v>
      </c>
      <c r="C140" s="179"/>
      <c r="D140" s="179"/>
      <c r="E140" s="179"/>
      <c r="F140" s="180"/>
      <c r="H140" s="178" t="s">
        <v>228</v>
      </c>
      <c r="I140" s="179"/>
      <c r="J140" s="179"/>
      <c r="K140" s="179"/>
      <c r="L140" s="180"/>
    </row>
    <row r="141" spans="2:12" ht="15.6">
      <c r="B141" s="8" t="s">
        <v>217</v>
      </c>
      <c r="C141" s="5" t="s">
        <v>218</v>
      </c>
      <c r="D141" s="61">
        <f>(-D154/(D135/1000))+('PC-S1_DDR1 (2)'!D35/2)+D134</f>
        <v>206.17357331763881</v>
      </c>
      <c r="E141" s="10" t="s">
        <v>46</v>
      </c>
      <c r="F141" s="11" t="s">
        <v>219</v>
      </c>
      <c r="H141" s="8" t="s">
        <v>217</v>
      </c>
      <c r="I141" s="5" t="s">
        <v>218</v>
      </c>
      <c r="J141" s="61">
        <f>(-J154/(J135/1000))+('PC-S1_DDR1 (2)'!D35/2)+J134</f>
        <v>262.39198507737365</v>
      </c>
      <c r="K141" s="10" t="s">
        <v>46</v>
      </c>
      <c r="L141" s="11" t="s">
        <v>219</v>
      </c>
    </row>
    <row r="142" spans="2:12" ht="15.6">
      <c r="B142" s="8" t="s">
        <v>212</v>
      </c>
      <c r="C142" s="5" t="s">
        <v>213</v>
      </c>
      <c r="D142" s="56">
        <f>'PC-S1_DDR1 (2)'!D30</f>
        <v>0.8</v>
      </c>
      <c r="F142" s="11" t="s">
        <v>214</v>
      </c>
      <c r="H142" s="8" t="s">
        <v>212</v>
      </c>
      <c r="I142" s="5" t="s">
        <v>213</v>
      </c>
      <c r="J142" s="56">
        <f>'PC-S1_DDR1 (2)'!D30</f>
        <v>0.8</v>
      </c>
      <c r="L142" s="11" t="s">
        <v>214</v>
      </c>
    </row>
    <row r="143" spans="2:12" ht="15.6">
      <c r="B143" s="8" t="s">
        <v>220</v>
      </c>
      <c r="C143" s="5" t="s">
        <v>221</v>
      </c>
      <c r="D143" s="61">
        <f>(D141*1000)/D142/'PC-S1_DDR1 (2)'!D24</f>
        <v>515.43393329409696</v>
      </c>
      <c r="E143" s="10" t="s">
        <v>56</v>
      </c>
      <c r="F143" s="11" t="s">
        <v>219</v>
      </c>
      <c r="H143" s="8" t="s">
        <v>220</v>
      </c>
      <c r="I143" s="5" t="s">
        <v>221</v>
      </c>
      <c r="J143" s="61">
        <f>(J141*1000)/J142/'PC-S1_DDR1 (2)'!D24</f>
        <v>655.979962693434</v>
      </c>
      <c r="K143" s="10" t="s">
        <v>56</v>
      </c>
      <c r="L143" s="11" t="s">
        <v>219</v>
      </c>
    </row>
    <row r="144" spans="2:12" ht="16.2" thickBot="1">
      <c r="B144" s="38" t="s">
        <v>216</v>
      </c>
      <c r="C144" s="39"/>
      <c r="D144" s="115" t="str">
        <f>IF(J143&lt;(SUM('PC-S1_DDR1 (2)'!H34:H38)*(ROUND(PI()*'PC-S1_DDR1 (2)'!D16^2*0.25,-1))),"Pass","Fail")</f>
        <v>Pass</v>
      </c>
      <c r="E144" s="116"/>
      <c r="F144" s="47"/>
      <c r="H144" s="38" t="s">
        <v>216</v>
      </c>
      <c r="I144" s="39"/>
      <c r="J144" s="115" t="str">
        <f>IF(J143&lt;(SUM('PC-S1_DDR1 (2)'!H27:H31)*(ROUND(PI()*'PC-S1_DDR1 (2)'!D15^2*0.25,-1))),"Pass","Fail")</f>
        <v>Fail</v>
      </c>
      <c r="K144" s="116"/>
      <c r="L144" s="47"/>
    </row>
    <row r="145" spans="2:12" ht="15" thickBot="1"/>
    <row r="146" spans="2:12" ht="18.600000000000001" thickBot="1">
      <c r="B146" s="1" t="s">
        <v>180</v>
      </c>
      <c r="F146" s="19"/>
      <c r="L146" s="19"/>
    </row>
    <row r="147" spans="2:12" ht="15" thickBot="1"/>
    <row r="148" spans="2:12">
      <c r="B148" s="106"/>
      <c r="C148" s="6"/>
      <c r="D148" s="6"/>
      <c r="E148" s="6"/>
      <c r="F148" s="7"/>
      <c r="H148" s="106"/>
      <c r="I148" s="6"/>
      <c r="J148" s="6"/>
      <c r="K148" s="6"/>
      <c r="L148" s="7"/>
    </row>
    <row r="149" spans="2:12" ht="15.6">
      <c r="B149" s="8" t="s">
        <v>181</v>
      </c>
      <c r="D149" s="181" t="s">
        <v>321</v>
      </c>
      <c r="E149" s="181"/>
      <c r="F149" s="107" t="str">
        <f>IF(D149="Simplified Method","[cl.8.2.4.3]","[cl.8.2.4.2]")</f>
        <v>[cl.8.2.4.2]</v>
      </c>
      <c r="H149" s="8" t="s">
        <v>181</v>
      </c>
      <c r="J149" s="181" t="s">
        <v>321</v>
      </c>
      <c r="K149" s="181"/>
      <c r="L149" s="107" t="str">
        <f>IF(J149="Simplified Method","[cl.8.2.4.3]","[cl.8.2.4.2]")</f>
        <v>[cl.8.2.4.2]</v>
      </c>
    </row>
    <row r="150" spans="2:12" ht="15.6">
      <c r="B150" s="8" t="s">
        <v>182</v>
      </c>
      <c r="C150" s="108" t="s">
        <v>183</v>
      </c>
      <c r="D150" s="70">
        <f>IF('PC-S1_DDR1 (2)'!D23&lt;=65,IF('PC-S1_DDR1 (2)'!D28&gt;=16,1,MAX(32/(16+'PC-S1_DDR1 (2)'!D28),0.8)),2)</f>
        <v>1</v>
      </c>
      <c r="E150" s="70"/>
      <c r="F150" s="11" t="s">
        <v>184</v>
      </c>
      <c r="H150" s="8" t="s">
        <v>182</v>
      </c>
      <c r="I150" s="108" t="s">
        <v>183</v>
      </c>
      <c r="J150" s="70">
        <f>IF('PC-S1_DDR1 (2)'!D23&lt;=65,IF('PC-S1_DDR1 (2)'!D28&gt;=16,1,MAX(32/(16+'PC-S1_DDR1 (2)'!D28),0.8)),2)</f>
        <v>1</v>
      </c>
      <c r="K150" s="70"/>
      <c r="L150" s="11" t="s">
        <v>184</v>
      </c>
    </row>
    <row r="151" spans="2:12" ht="15.6">
      <c r="B151" s="8" t="s">
        <v>185</v>
      </c>
      <c r="C151" s="108"/>
      <c r="D151" s="57" t="str">
        <f>IF(J99="Fail","Yes","No")</f>
        <v>No</v>
      </c>
      <c r="E151" s="70"/>
      <c r="F151" s="13"/>
      <c r="H151" s="8" t="s">
        <v>185</v>
      </c>
      <c r="I151" s="108"/>
      <c r="J151" s="57" t="str">
        <f>IF(D99="Fail","Yes","No")</f>
        <v>No</v>
      </c>
      <c r="K151" s="70"/>
      <c r="L151" s="13"/>
    </row>
    <row r="152" spans="2:12" ht="15.6">
      <c r="B152" s="8" t="s">
        <v>186</v>
      </c>
      <c r="C152" s="108" t="s">
        <v>55</v>
      </c>
      <c r="D152" s="71">
        <f>'PC-S1_DDR1 (2)'!D52</f>
        <v>600</v>
      </c>
      <c r="E152" s="70" t="s">
        <v>56</v>
      </c>
      <c r="F152" s="11" t="s">
        <v>187</v>
      </c>
      <c r="H152" s="8" t="s">
        <v>186</v>
      </c>
      <c r="I152" s="108" t="s">
        <v>55</v>
      </c>
      <c r="J152" s="71">
        <f>'PC-S1_DDR1 (2)'!D51</f>
        <v>4340</v>
      </c>
      <c r="K152" s="70" t="s">
        <v>56</v>
      </c>
      <c r="L152" s="11" t="s">
        <v>187</v>
      </c>
    </row>
    <row r="153" spans="2:12" ht="15.6">
      <c r="B153" s="8" t="s">
        <v>188</v>
      </c>
      <c r="C153" s="108" t="s">
        <v>189</v>
      </c>
      <c r="D153" s="70">
        <f>J96/2-'PC-S1_DDR1 (2)'!D52</f>
        <v>124400</v>
      </c>
      <c r="E153" s="70" t="s">
        <v>56</v>
      </c>
      <c r="F153" s="11" t="s">
        <v>187</v>
      </c>
      <c r="H153" s="8" t="s">
        <v>188</v>
      </c>
      <c r="I153" s="108" t="s">
        <v>189</v>
      </c>
      <c r="J153" s="70">
        <f>D96/2-'PC-S1_DDR1 (2)'!D51</f>
        <v>120660</v>
      </c>
      <c r="K153" s="70" t="s">
        <v>56</v>
      </c>
      <c r="L153" s="11" t="s">
        <v>187</v>
      </c>
    </row>
    <row r="154" spans="2:12" ht="15.6">
      <c r="B154" s="8" t="s">
        <v>190</v>
      </c>
      <c r="C154" s="108" t="s">
        <v>191</v>
      </c>
      <c r="D154" s="118">
        <f>IF(D151="Yes",IF('PC-S1_DDR1 (2)'!J34&gt;=(D122/1000)*SQRT(('PC-S1_DDR1 (2)'!D36^2)+((0.9*'PC-S1_DDR1 (2)'!D37*D127/1000)/(2*D119/1000000))^2),'PC-S1_DDR1 (2)'!D34,(D122/1000)*SQRT(('PC-S1_DDR1 (2)'!D36^2)+((0.9*'PC-S1_DDR1 (2)'!D37*D127/1000)/(2*D119/1000000))^2)),IF('PC-S1_DDR1 (2)'!D34&gt;=('PC-S1_DDR1 (2)'!D36*D122/1000),'PC-S1_DDR1 (2)'!D34,('PC-S1_DDR1 (2)'!D36*D122/1000)))</f>
        <v>8.7583892617449681</v>
      </c>
      <c r="E154" s="70" t="s">
        <v>192</v>
      </c>
      <c r="F154" s="11" t="s">
        <v>187</v>
      </c>
      <c r="H154" s="8" t="s">
        <v>190</v>
      </c>
      <c r="I154" s="108" t="s">
        <v>191</v>
      </c>
      <c r="J154" s="118">
        <f>IF(J151="Yes",IF('PC-S1_DDR1 (2)'!D34&gt;=(J122/1000)*SQRT(('PC-S1_DDR1 (2)'!D36^2)+((0.9*'PC-S1_DDR1 (2)'!D37*J127/1000)/(2*J119/1000000))^2),'PC-S1_DDR1 (2)'!D34,(J122/1000)*SQRT(('PC-S1_DDR1 (2)'!D36^2)+((0.9*'PC-S1_DDR1 (2)'!D37*J127/1000)/(2*J119/1000000))^2)),IF('PC-S1_DDR1 (2)'!D34&gt;=('PC-S1_DDR1 (2)'!D36*J122/1000),'PC-S1_DDR1 (2)'!D34,('PC-S1_DDR1 (2)'!D36*J122/1000)))</f>
        <v>8.7583892617449681</v>
      </c>
      <c r="K154" s="70" t="s">
        <v>192</v>
      </c>
      <c r="L154" s="11" t="s">
        <v>187</v>
      </c>
    </row>
    <row r="155" spans="2:12" ht="15.6">
      <c r="B155" s="8" t="s">
        <v>193</v>
      </c>
      <c r="C155" s="108" t="s">
        <v>194</v>
      </c>
      <c r="D155" s="70">
        <f>IF(D151="Yes",ABS(D154/(D122/1000))+SQRT((ABS('PC-S1_DDR1 (2)'!D36)^2)+((0.9*'PC-S1_DDR1 (2)'!D37*D127/1000)/(2*D119/1000000))^2)+0.5*(-1*'PC-S1_DDR1 (2)'!D35),ABS(D154/(D122/1000))+ABS('PC-S1_DDR1 (2)'!D36)+0.5*(-1*'PC-S1_DDR1 (2)'!D35))</f>
        <v>97.31543624161074</v>
      </c>
      <c r="E155" s="70" t="s">
        <v>46</v>
      </c>
      <c r="F155" s="11" t="s">
        <v>187</v>
      </c>
      <c r="H155" s="8" t="s">
        <v>193</v>
      </c>
      <c r="I155" s="108" t="s">
        <v>194</v>
      </c>
      <c r="J155" s="117">
        <f>IF(J151="Yes",ABS(J154/(J122/1000))+SQRT((ABS('PC-S1_DDR1 (2)'!D36)^2)+((0.9*'PC-S1_DDR1 (2)'!D37*J127/1000)/(2*J119/1000000))^2)+0.5*(-1*'PC-S1_DDR1 (2)'!D35),ABS(J154/(J122/1000))+ABS('PC-S1_DDR1 (2)'!D36)+0.5*(-1*'PC-S1_DDR1 (2)'!D35))</f>
        <v>97.31543624161074</v>
      </c>
      <c r="K155" s="70" t="s">
        <v>46</v>
      </c>
      <c r="L155" s="11" t="s">
        <v>187</v>
      </c>
    </row>
    <row r="156" spans="2:12" ht="15.6">
      <c r="B156" s="8" t="s">
        <v>195</v>
      </c>
      <c r="C156" s="108" t="s">
        <v>196</v>
      </c>
      <c r="D156" s="109">
        <f>MIN(D155*1000/(2*('PC-S1_DDR1 (2)'!D27*'PC-S1_DDR1 (2)'!D52)),3*10^-3)</f>
        <v>4.054809843400448E-4</v>
      </c>
      <c r="E156" s="70" t="s">
        <v>197</v>
      </c>
      <c r="F156" s="11" t="s">
        <v>187</v>
      </c>
      <c r="H156" s="8" t="s">
        <v>195</v>
      </c>
      <c r="I156" s="108" t="s">
        <v>196</v>
      </c>
      <c r="J156" s="109">
        <f>MIN(J155*1000/(2*('PC-S1_DDR1 (2)'!D27*'PC-S1_DDR1 (2)'!D51)),3*10^-3)</f>
        <v>5.6057278941020017E-5</v>
      </c>
      <c r="K156" s="70" t="s">
        <v>197</v>
      </c>
      <c r="L156" s="11" t="s">
        <v>187</v>
      </c>
    </row>
    <row r="157" spans="2:12" ht="15.6">
      <c r="B157" s="8" t="s">
        <v>198</v>
      </c>
      <c r="C157" s="108" t="s">
        <v>196</v>
      </c>
      <c r="D157" s="109">
        <f>IF(D156&lt;0,MAX(D155*1000/(2*('PC-S1_DDR1 (2)'!D27*D152+J169*D153)),-0.2*10^-3),D156)</f>
        <v>4.054809843400448E-4</v>
      </c>
      <c r="E157" s="70" t="s">
        <v>197</v>
      </c>
      <c r="F157" s="11" t="s">
        <v>187</v>
      </c>
      <c r="H157" s="8" t="s">
        <v>198</v>
      </c>
      <c r="I157" s="108" t="s">
        <v>196</v>
      </c>
      <c r="J157" s="109">
        <f>IF(J156&lt;0,MAX(J155*1000/(2*('PC-S1_DDR1 (2)'!D27*J152+D169*J153)),-0.2*10^-3),J156)</f>
        <v>5.6057278941020017E-5</v>
      </c>
      <c r="K157" s="70" t="s">
        <v>197</v>
      </c>
      <c r="L157" s="11" t="s">
        <v>187</v>
      </c>
    </row>
    <row r="158" spans="2:12" ht="15.6">
      <c r="B158" s="8" t="s">
        <v>199</v>
      </c>
      <c r="C158" s="108" t="s">
        <v>139</v>
      </c>
      <c r="D158" s="110">
        <f>IF(D125="Pass",(0.4/(1+1500*D157)),(0.4/(1+1500*D157))*(1300/(1000+D150*D122)))</f>
        <v>0.24872196139801772</v>
      </c>
      <c r="E158" s="70"/>
      <c r="F158" s="11" t="str">
        <f>F149</f>
        <v>[cl.8.2.4.2]</v>
      </c>
      <c r="H158" s="8" t="s">
        <v>199</v>
      </c>
      <c r="I158" s="108" t="s">
        <v>139</v>
      </c>
      <c r="J158" s="110">
        <f>IF(J125="Pass",(0.4/(1+1500*J157)),(0.4/(1+1500*J157))*(1300/(1000+J150*J122)))</f>
        <v>0.36897444492785664</v>
      </c>
      <c r="K158" s="70"/>
      <c r="L158" s="11" t="str">
        <f>L149</f>
        <v>[cl.8.2.4.2]</v>
      </c>
    </row>
    <row r="159" spans="2:12" ht="16.2" thickBot="1">
      <c r="B159" s="38" t="s">
        <v>200</v>
      </c>
      <c r="C159" s="111" t="s">
        <v>201</v>
      </c>
      <c r="D159" s="112">
        <f>(29+7000*D157)</f>
        <v>31.838366890380314</v>
      </c>
      <c r="E159" s="113" t="s">
        <v>202</v>
      </c>
      <c r="F159" s="43" t="str">
        <f>F158</f>
        <v>[cl.8.2.4.2]</v>
      </c>
      <c r="H159" s="38" t="s">
        <v>200</v>
      </c>
      <c r="I159" s="111" t="s">
        <v>201</v>
      </c>
      <c r="J159" s="112">
        <f>(29+7000*J157)</f>
        <v>29.392400952587138</v>
      </c>
      <c r="K159" s="113" t="s">
        <v>202</v>
      </c>
      <c r="L159" s="43" t="str">
        <f>L158</f>
        <v>[cl.8.2.4.2]</v>
      </c>
    </row>
    <row r="160" spans="2:12" ht="15" thickBot="1"/>
    <row r="161" spans="2:12" ht="18.600000000000001" thickBot="1">
      <c r="B161" s="176" t="s">
        <v>164</v>
      </c>
      <c r="C161" s="177"/>
    </row>
    <row r="162" spans="2:12" ht="15" thickBot="1"/>
    <row r="163" spans="2:12" ht="15.6">
      <c r="B163" s="37" t="s">
        <v>99</v>
      </c>
      <c r="C163" s="6"/>
      <c r="D163" s="6"/>
      <c r="E163" s="6"/>
      <c r="F163" s="7"/>
    </row>
    <row r="164" spans="2:12">
      <c r="B164" s="44" t="s">
        <v>100</v>
      </c>
      <c r="F164" s="13"/>
    </row>
    <row r="165" spans="2:12">
      <c r="B165" s="44" t="s">
        <v>109</v>
      </c>
      <c r="F165" s="13"/>
    </row>
    <row r="166" spans="2:12" ht="15" thickBot="1">
      <c r="B166" s="122" t="s">
        <v>315</v>
      </c>
      <c r="C166" s="46"/>
      <c r="D166" s="46"/>
      <c r="E166" s="46"/>
      <c r="F166" s="47"/>
    </row>
    <row r="167" spans="2:12" ht="15" thickBot="1"/>
    <row r="168" spans="2:12" ht="15.6">
      <c r="B168" s="37" t="s">
        <v>172</v>
      </c>
      <c r="C168" s="21"/>
      <c r="D168" s="21"/>
      <c r="E168" s="21"/>
      <c r="F168" s="22"/>
      <c r="H168" s="37" t="s">
        <v>173</v>
      </c>
      <c r="I168" s="21"/>
      <c r="J168" s="21"/>
      <c r="K168" s="21"/>
      <c r="L168" s="22"/>
    </row>
    <row r="169" spans="2:12" ht="15.6">
      <c r="B169" s="80" t="s">
        <v>146</v>
      </c>
      <c r="C169" s="5" t="s">
        <v>147</v>
      </c>
      <c r="D169" s="73">
        <f>(('PC-S1_DDR1 (2)'!$D$10*100)^1.5)*0.043*SQRT('PC-S1_DDR1 (2)'!D23)</f>
        <v>38006.989488776897</v>
      </c>
      <c r="E169" s="10"/>
      <c r="F169" s="11"/>
      <c r="H169" s="80" t="s">
        <v>146</v>
      </c>
      <c r="I169" s="5" t="s">
        <v>147</v>
      </c>
      <c r="J169" s="73">
        <f>(('PC-S1_DDR1 (2)'!$D$10*100)^1.5)*0.043*SQRT('PC-S1_DDR1 (2)'!D23)</f>
        <v>38006.989488776897</v>
      </c>
      <c r="K169" s="10"/>
      <c r="L169" s="11"/>
    </row>
    <row r="170" spans="2:12" ht="15.6">
      <c r="B170" s="8" t="s">
        <v>148</v>
      </c>
      <c r="C170" s="5" t="s">
        <v>149</v>
      </c>
      <c r="D170" s="42">
        <f>0.6*'PC-S1_DDR1 (2)'!D23</f>
        <v>30</v>
      </c>
      <c r="E170" s="10" t="s">
        <v>25</v>
      </c>
      <c r="F170" s="11" t="s">
        <v>150</v>
      </c>
      <c r="G170" t="s">
        <v>336</v>
      </c>
      <c r="H170" s="8" t="s">
        <v>148</v>
      </c>
      <c r="I170" s="5" t="s">
        <v>149</v>
      </c>
      <c r="J170" s="42">
        <f>0.6*'PC-S1_DDR1 (2)'!D23</f>
        <v>30</v>
      </c>
      <c r="K170" s="10" t="s">
        <v>25</v>
      </c>
      <c r="L170" s="11" t="s">
        <v>150</v>
      </c>
    </row>
    <row r="171" spans="2:12" ht="15.6">
      <c r="B171" s="8" t="s">
        <v>151</v>
      </c>
      <c r="C171" s="5" t="s">
        <v>152</v>
      </c>
      <c r="D171" s="42">
        <f>J22</f>
        <v>155</v>
      </c>
      <c r="E171" s="10" t="s">
        <v>25</v>
      </c>
      <c r="F171" s="11"/>
      <c r="H171" s="8" t="s">
        <v>151</v>
      </c>
      <c r="I171" s="5" t="s">
        <v>152</v>
      </c>
      <c r="J171" s="42">
        <f>J23</f>
        <v>150</v>
      </c>
      <c r="K171" s="10" t="s">
        <v>25</v>
      </c>
      <c r="L171" s="11"/>
    </row>
    <row r="172" spans="2:12" ht="15.6">
      <c r="B172" s="8" t="s">
        <v>163</v>
      </c>
      <c r="C172" s="5" t="s">
        <v>153</v>
      </c>
      <c r="D172" s="124">
        <f>'PC-S1_DDR1 (2)'!D27/D169</f>
        <v>5.2621899995278003</v>
      </c>
      <c r="E172" s="75"/>
      <c r="F172" s="14"/>
      <c r="H172" s="8" t="s">
        <v>163</v>
      </c>
      <c r="I172" s="5" t="s">
        <v>153</v>
      </c>
      <c r="J172" s="124">
        <f>'PC-S1_DDR1 (2)'!D27/J169</f>
        <v>5.2621899995278003</v>
      </c>
      <c r="K172" s="75"/>
      <c r="L172" s="14"/>
    </row>
    <row r="173" spans="2:12" ht="15.6">
      <c r="B173" s="8" t="s">
        <v>162</v>
      </c>
      <c r="C173" s="5" t="s">
        <v>154</v>
      </c>
      <c r="D173" s="123">
        <f>'PC-S1_DDR1 (2)'!D52/('PC-S1_DDR1 (2)'!D8*'PC-S1_DDR1 (2)'!D9)</f>
        <v>2.3999999999999998E-3</v>
      </c>
      <c r="E173" s="76"/>
      <c r="F173" s="14"/>
      <c r="H173" s="8" t="s">
        <v>162</v>
      </c>
      <c r="I173" s="5" t="s">
        <v>154</v>
      </c>
      <c r="J173" s="123">
        <f>'PC-S1_DDR1 (2)'!D51/('PC-S1_DDR1 (2)'!D8*'PC-S1_DDR1 (2)'!D9)</f>
        <v>1.736E-2</v>
      </c>
      <c r="K173" s="76"/>
      <c r="L173" s="14"/>
    </row>
    <row r="174" spans="2:12" ht="15.6">
      <c r="B174" s="8" t="s">
        <v>161</v>
      </c>
      <c r="C174" s="5" t="s">
        <v>155</v>
      </c>
      <c r="D174" s="124">
        <f>SQRT((D172*D173)^2+2*D173*D172)-D172*D173</f>
        <v>0.14680101121792732</v>
      </c>
      <c r="E174" s="75"/>
      <c r="F174" s="14"/>
      <c r="H174" s="8" t="s">
        <v>161</v>
      </c>
      <c r="I174" s="5" t="s">
        <v>155</v>
      </c>
      <c r="J174" s="124">
        <f>SQRT((J173*J172)^2+J173*J172*2)-J172*J173</f>
        <v>0.34573916733400833</v>
      </c>
      <c r="K174" s="75"/>
      <c r="L174" s="14"/>
    </row>
    <row r="175" spans="2:12" ht="15.6">
      <c r="B175" s="8"/>
      <c r="C175" s="5" t="s">
        <v>156</v>
      </c>
      <c r="D175" s="124">
        <f>1-D174/3</f>
        <v>0.95106632959402426</v>
      </c>
      <c r="F175" s="14"/>
      <c r="H175" s="8"/>
      <c r="I175" s="5" t="s">
        <v>156</v>
      </c>
      <c r="J175" s="124">
        <f>1-J174/3</f>
        <v>0.88475361088866389</v>
      </c>
      <c r="L175" s="14"/>
    </row>
    <row r="176" spans="2:12" ht="15.6">
      <c r="B176" s="8"/>
      <c r="C176" s="5" t="s">
        <v>157</v>
      </c>
      <c r="D176" s="77">
        <f>2*'PC-S1_DDR1 (2)'!$D$38/(D175*('PC-S1_DDR1 (2)'!$D$50^2)*'PC-S1_DDR1 (2)'!$D$9*D174)*1000000</f>
        <v>24.410142349683323</v>
      </c>
      <c r="F176" s="14"/>
      <c r="H176" s="8"/>
      <c r="I176" s="5" t="s">
        <v>157</v>
      </c>
      <c r="J176" s="77">
        <f>2*'PC-S1_DDR1 (2)'!$D$38/(J175*('PC-S1_DDR1 (2)'!$D$50^2)*'PC-S1_DDR1 (2)'!$D$9*J174)*1000000</f>
        <v>11.141386501401351</v>
      </c>
      <c r="L176" s="14"/>
    </row>
    <row r="177" spans="2:12" ht="15.6">
      <c r="B177" s="8" t="s">
        <v>158</v>
      </c>
      <c r="C177" s="5" t="s">
        <v>52</v>
      </c>
      <c r="D177" s="78" t="str">
        <f>IF($D$170&gt;D176,"Pass","Fail")</f>
        <v>Pass</v>
      </c>
      <c r="F177" s="14"/>
      <c r="H177" s="8" t="s">
        <v>158</v>
      </c>
      <c r="I177" s="5" t="s">
        <v>52</v>
      </c>
      <c r="J177" s="78" t="str">
        <f>IF($J$170&gt;J176,"Pass","Fail")</f>
        <v>Pass</v>
      </c>
      <c r="L177" s="14"/>
    </row>
    <row r="178" spans="2:12" ht="15.6">
      <c r="B178" s="8"/>
      <c r="C178" s="5" t="s">
        <v>159</v>
      </c>
      <c r="D178" s="77">
        <f>'PC-S1_DDR1 (2)'!$D$39/('PC-S1_DDR1 (2)'!$D$52*D175*'PC-S1_DDR1 (2)'!$J$53)*1000000 + -1*D35*1000*0.5/D52</f>
        <v>0</v>
      </c>
      <c r="F178" s="14"/>
      <c r="H178" s="8"/>
      <c r="I178" s="5" t="s">
        <v>159</v>
      </c>
      <c r="J178" s="77">
        <f>'PC-S1_DDR1 (2)'!$D$38/('PC-S1_DDR1 (2)'!$D$51*J175*'PC-S1_DDR1 (2)'!$D$50)*1000000 + -1*D35*1000*0.5/D51</f>
        <v>68.785958784658277</v>
      </c>
      <c r="L178" s="14"/>
    </row>
    <row r="179" spans="2:12" ht="16.2" thickBot="1">
      <c r="B179" s="38" t="s">
        <v>160</v>
      </c>
      <c r="C179" s="39" t="s">
        <v>52</v>
      </c>
      <c r="D179" s="79" t="str">
        <f>IF($D$171&gt;D178,"Pass","Fail")</f>
        <v>Pass</v>
      </c>
      <c r="E179" s="46"/>
      <c r="F179" s="41"/>
      <c r="H179" s="38" t="s">
        <v>160</v>
      </c>
      <c r="I179" s="39" t="s">
        <v>52</v>
      </c>
      <c r="J179" s="79" t="str">
        <f>IF($J$171&gt;J178,"Pass","Fail")</f>
        <v>Pass</v>
      </c>
      <c r="K179" s="46"/>
      <c r="L179" s="41"/>
    </row>
  </sheetData>
  <mergeCells count="7">
    <mergeCell ref="B161:C161"/>
    <mergeCell ref="B1:F1"/>
    <mergeCell ref="B5:C5"/>
    <mergeCell ref="B140:F140"/>
    <mergeCell ref="H140:L140"/>
    <mergeCell ref="D149:E149"/>
    <mergeCell ref="J149:K149"/>
  </mergeCells>
  <conditionalFormatting sqref="L8:L19">
    <cfRule type="cellIs" dxfId="1" priority="1" operator="equal">
      <formula>"Fail"</formula>
    </cfRule>
  </conditionalFormatting>
  <dataValidations count="1">
    <dataValidation type="list" allowBlank="1" showInputMessage="1" showErrorMessage="1" sqref="F5" xr:uid="{BC954B50-980C-4807-833A-755C41A9C308}">
      <formula1>$R$7:$S$7</formula1>
    </dataValidation>
  </dataValidations>
  <pageMargins left="0.7" right="0.7" top="0.75" bottom="0.75" header="0.3" footer="0.3"/>
  <pageSetup paperSize="9" scale="35" fitToHeight="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4DC66-70DF-48B7-8053-716D3A15345E}">
  <sheetPr codeName="Sheet10">
    <tabColor theme="4" tint="0.39997558519241921"/>
    <pageSetUpPr fitToPage="1"/>
  </sheetPr>
  <dimension ref="B1:V179"/>
  <sheetViews>
    <sheetView topLeftCell="B1" zoomScale="70" zoomScaleNormal="70" workbookViewId="0">
      <selection activeCell="T29" sqref="T29"/>
    </sheetView>
  </sheetViews>
  <sheetFormatPr defaultRowHeight="14.4"/>
  <cols>
    <col min="2" max="2" width="40" customWidth="1"/>
    <col min="3" max="3" width="16.88671875" customWidth="1"/>
    <col min="4" max="4" width="12.33203125" bestFit="1" customWidth="1"/>
    <col min="5" max="5" width="11.88671875" customWidth="1"/>
    <col min="6" max="6" width="30.109375" customWidth="1"/>
    <col min="7" max="7" width="13.33203125" customWidth="1"/>
    <col min="8" max="8" width="43.44140625" customWidth="1"/>
    <col min="9" max="9" width="15.33203125" customWidth="1"/>
    <col min="10" max="10" width="13.33203125" bestFit="1" customWidth="1"/>
    <col min="11" max="11" width="10" bestFit="1" customWidth="1"/>
    <col min="12" max="12" width="28" customWidth="1"/>
  </cols>
  <sheetData>
    <row r="1" spans="2:20" ht="20.399999999999999" thickBot="1">
      <c r="B1" s="175" t="s">
        <v>326</v>
      </c>
      <c r="C1" s="175"/>
      <c r="D1" s="175"/>
      <c r="E1" s="175"/>
      <c r="F1" s="175"/>
    </row>
    <row r="2" spans="2:20" ht="15" thickTop="1"/>
    <row r="3" spans="2:20">
      <c r="B3" s="120" t="s">
        <v>229</v>
      </c>
      <c r="C3" t="s">
        <v>327</v>
      </c>
      <c r="D3" s="120" t="s">
        <v>230</v>
      </c>
      <c r="E3" s="119">
        <f ca="1">TODAY()</f>
        <v>46037</v>
      </c>
      <c r="F3" s="120" t="s">
        <v>231</v>
      </c>
      <c r="G3" s="119">
        <v>45460</v>
      </c>
    </row>
    <row r="4" spans="2:20" ht="15" thickBot="1"/>
    <row r="5" spans="2:20" ht="18.600000000000001" thickBot="1">
      <c r="B5" s="176" t="s">
        <v>0</v>
      </c>
      <c r="C5" s="177"/>
      <c r="D5" s="3"/>
      <c r="E5" s="4"/>
      <c r="F5" s="158" t="s">
        <v>330</v>
      </c>
      <c r="H5" s="87" t="s">
        <v>165</v>
      </c>
      <c r="I5" s="4"/>
      <c r="J5" s="4"/>
      <c r="K5" s="82"/>
    </row>
    <row r="6" spans="2:20" ht="16.2" thickBot="1">
      <c r="B6" s="5"/>
      <c r="C6" s="5"/>
    </row>
    <row r="7" spans="2:20" ht="15.6">
      <c r="B7" s="86" t="s">
        <v>174</v>
      </c>
      <c r="C7" s="6"/>
      <c r="D7" s="6"/>
      <c r="E7" s="6"/>
      <c r="F7" s="7"/>
      <c r="H7" s="147" t="s">
        <v>307</v>
      </c>
      <c r="I7" s="88" t="s">
        <v>39</v>
      </c>
      <c r="J7" s="89">
        <f>D33</f>
        <v>2400</v>
      </c>
      <c r="K7" s="90" t="s">
        <v>40</v>
      </c>
      <c r="L7" s="148"/>
      <c r="R7" t="s">
        <v>331</v>
      </c>
      <c r="S7" t="s">
        <v>330</v>
      </c>
    </row>
    <row r="8" spans="2:20" ht="15.6">
      <c r="B8" s="8" t="s">
        <v>175</v>
      </c>
      <c r="C8" s="5" t="s">
        <v>97</v>
      </c>
      <c r="D8" s="158">
        <f>IF(F$5="End Stage",S8,R8)</f>
        <v>1500</v>
      </c>
      <c r="E8" s="10" t="s">
        <v>2</v>
      </c>
      <c r="F8" s="11"/>
      <c r="H8" s="91"/>
      <c r="I8" s="92" t="s">
        <v>70</v>
      </c>
      <c r="J8" s="93">
        <f>J59</f>
        <v>8367.0589853702604</v>
      </c>
      <c r="K8" s="94" t="s">
        <v>40</v>
      </c>
      <c r="L8" s="170" t="str">
        <f>J60</f>
        <v>Pass</v>
      </c>
      <c r="R8" s="161">
        <v>1050</v>
      </c>
      <c r="S8" s="161">
        <v>1500</v>
      </c>
      <c r="T8" s="161"/>
    </row>
    <row r="9" spans="2:20" ht="15.6">
      <c r="B9" s="8" t="s">
        <v>176</v>
      </c>
      <c r="C9" s="5" t="s">
        <v>3</v>
      </c>
      <c r="D9" s="9">
        <v>1000</v>
      </c>
      <c r="E9" s="10" t="s">
        <v>2</v>
      </c>
      <c r="F9" s="11"/>
      <c r="H9" s="91"/>
      <c r="I9" s="96" t="s">
        <v>166</v>
      </c>
      <c r="J9" s="93">
        <f>D56</f>
        <v>2778.3903722096366</v>
      </c>
      <c r="K9" s="94" t="s">
        <v>167</v>
      </c>
      <c r="L9" s="170" t="str">
        <f>D57</f>
        <v>Pass</v>
      </c>
      <c r="R9" s="161"/>
      <c r="S9" s="161"/>
      <c r="T9" s="161"/>
    </row>
    <row r="10" spans="2:20" ht="18">
      <c r="B10" s="8" t="s">
        <v>4</v>
      </c>
      <c r="C10" s="81" t="s">
        <v>124</v>
      </c>
      <c r="D10" s="9">
        <v>25</v>
      </c>
      <c r="E10" s="10" t="s">
        <v>5</v>
      </c>
      <c r="F10" s="11"/>
      <c r="H10" s="91"/>
      <c r="I10" s="97"/>
      <c r="J10" s="98"/>
      <c r="K10" s="97"/>
      <c r="L10" s="170"/>
      <c r="R10" s="161"/>
      <c r="S10" s="161"/>
      <c r="T10" s="161"/>
    </row>
    <row r="11" spans="2:20" ht="15.6">
      <c r="B11" s="8" t="s">
        <v>134</v>
      </c>
      <c r="C11" s="5" t="s">
        <v>1</v>
      </c>
      <c r="D11" s="70">
        <f>D8-((H34*I34)+(H35*I35)+(H36*I36)+(H37*I37)+(H38*I38))/(SUM(H34:H38))</f>
        <v>1374.3125</v>
      </c>
      <c r="E11" s="10" t="s">
        <v>2</v>
      </c>
      <c r="F11" s="121" t="s">
        <v>232</v>
      </c>
      <c r="H11" s="91" t="s">
        <v>168</v>
      </c>
      <c r="I11" s="96" t="s">
        <v>171</v>
      </c>
      <c r="J11" s="93">
        <f>'PC-B1-3_DDR (2)'!J120</f>
        <v>2965.9125704931262</v>
      </c>
      <c r="K11" s="94" t="s">
        <v>46</v>
      </c>
      <c r="L11" s="170"/>
      <c r="R11" s="161"/>
      <c r="S11" s="161"/>
      <c r="T11" s="161"/>
    </row>
    <row r="12" spans="2:20" ht="15.6">
      <c r="B12" s="84" t="s">
        <v>6</v>
      </c>
      <c r="D12" s="12"/>
      <c r="F12" s="13"/>
      <c r="H12" s="91"/>
      <c r="I12" s="92" t="s">
        <v>169</v>
      </c>
      <c r="J12" s="93">
        <f>'PC-B1-3_DDR (2)'!D132</f>
        <v>3278.4476178899008</v>
      </c>
      <c r="K12" s="94" t="s">
        <v>46</v>
      </c>
      <c r="L12" s="170" t="str">
        <f>'PC-B1-3_DDR (2)'!D133</f>
        <v>Pass</v>
      </c>
      <c r="R12" s="161"/>
      <c r="S12" s="161"/>
      <c r="T12" s="161"/>
    </row>
    <row r="13" spans="2:20" ht="15.6">
      <c r="B13" s="8" t="s">
        <v>7</v>
      </c>
      <c r="C13" s="5" t="s">
        <v>8</v>
      </c>
      <c r="D13" s="158">
        <f>IF(F$5="End Stage",S13,R13)</f>
        <v>50</v>
      </c>
      <c r="E13" s="10" t="s">
        <v>2</v>
      </c>
      <c r="F13" s="11" t="s">
        <v>9</v>
      </c>
      <c r="H13" s="91"/>
      <c r="I13" s="92" t="s">
        <v>170</v>
      </c>
      <c r="J13" s="93">
        <f>'PC-B1-3_DDR (2)'!J132</f>
        <v>3164.0194242190346</v>
      </c>
      <c r="K13" s="94" t="s">
        <v>46</v>
      </c>
      <c r="L13" s="170" t="str">
        <f>'PC-B1-3_DDR (2)'!J133</f>
        <v>Pass</v>
      </c>
      <c r="R13" s="161">
        <v>30</v>
      </c>
      <c r="S13" s="161">
        <v>50</v>
      </c>
      <c r="T13" s="161"/>
    </row>
    <row r="14" spans="2:20" ht="15.6">
      <c r="B14" s="8" t="s">
        <v>10</v>
      </c>
      <c r="C14" s="5" t="s">
        <v>8</v>
      </c>
      <c r="D14" s="9">
        <v>65</v>
      </c>
      <c r="E14" s="10" t="s">
        <v>2</v>
      </c>
      <c r="F14" s="11" t="s">
        <v>9</v>
      </c>
      <c r="H14" s="91"/>
      <c r="I14" s="97"/>
      <c r="J14" s="99"/>
      <c r="K14" s="97"/>
      <c r="L14" s="170"/>
      <c r="R14" s="161"/>
      <c r="S14" s="161"/>
      <c r="T14" s="161"/>
    </row>
    <row r="15" spans="2:20" ht="15.6">
      <c r="B15" s="8" t="s">
        <v>11</v>
      </c>
      <c r="C15" s="5" t="s">
        <v>12</v>
      </c>
      <c r="D15" s="158">
        <f>IF(F$5="End Stage",S15,R15)</f>
        <v>36</v>
      </c>
      <c r="E15" s="10" t="s">
        <v>2</v>
      </c>
      <c r="F15" s="11"/>
      <c r="H15" s="91" t="s">
        <v>177</v>
      </c>
      <c r="I15" s="96" t="s">
        <v>157</v>
      </c>
      <c r="J15" s="99">
        <f>'PC-B1-3_DDR (2)'!D176</f>
        <v>9.2100674711447894</v>
      </c>
      <c r="K15" s="94" t="s">
        <v>25</v>
      </c>
      <c r="L15" s="171" t="str">
        <f>'PC-B1-3_DDR (2)'!D177</f>
        <v>Pass</v>
      </c>
      <c r="R15" s="164">
        <v>20</v>
      </c>
      <c r="S15" s="164">
        <v>36</v>
      </c>
      <c r="T15" s="161"/>
    </row>
    <row r="16" spans="2:20" ht="15.6">
      <c r="B16" s="8" t="s">
        <v>13</v>
      </c>
      <c r="C16" s="5" t="s">
        <v>14</v>
      </c>
      <c r="D16" s="9">
        <v>36</v>
      </c>
      <c r="E16" s="10" t="s">
        <v>2</v>
      </c>
      <c r="F16" s="11"/>
      <c r="H16" s="91"/>
      <c r="I16" s="96" t="s">
        <v>159</v>
      </c>
      <c r="J16" s="99">
        <f>'PC-B1-3_DDR (2)'!D178</f>
        <v>198.99120046484484</v>
      </c>
      <c r="K16" s="94" t="s">
        <v>25</v>
      </c>
      <c r="L16" s="171" t="str">
        <f>'PC-B1-3_DDR (2)'!D179</f>
        <v>Fail</v>
      </c>
      <c r="M16" t="s">
        <v>338</v>
      </c>
      <c r="R16" s="161"/>
      <c r="S16" s="161"/>
      <c r="T16" s="161"/>
    </row>
    <row r="17" spans="2:20" ht="15.6">
      <c r="B17" s="84" t="s">
        <v>15</v>
      </c>
      <c r="D17" s="12"/>
      <c r="F17" s="13"/>
      <c r="H17" s="91"/>
      <c r="I17" s="97"/>
      <c r="J17" s="99"/>
      <c r="K17" s="97"/>
      <c r="L17" s="170"/>
      <c r="R17" s="161"/>
      <c r="S17" s="161"/>
      <c r="T17" s="161"/>
    </row>
    <row r="18" spans="2:20" ht="15.6">
      <c r="B18" s="8" t="s">
        <v>16</v>
      </c>
      <c r="C18" s="5" t="s">
        <v>17</v>
      </c>
      <c r="D18" s="9">
        <v>16</v>
      </c>
      <c r="E18" s="10" t="s">
        <v>2</v>
      </c>
      <c r="F18" s="14"/>
      <c r="H18" s="91" t="s">
        <v>178</v>
      </c>
      <c r="I18" s="96" t="s">
        <v>157</v>
      </c>
      <c r="J18" s="99">
        <f>'PC-B1-3_DDR (2)'!J176</f>
        <v>7.3680839886976823</v>
      </c>
      <c r="K18" s="94" t="s">
        <v>25</v>
      </c>
      <c r="L18" s="171" t="str">
        <f>'PC-B1-3_DDR (2)'!J177</f>
        <v>Pass</v>
      </c>
      <c r="R18" s="161"/>
      <c r="S18" s="161"/>
      <c r="T18" s="161"/>
    </row>
    <row r="19" spans="2:20" ht="16.2" thickBot="1">
      <c r="B19" s="8" t="s">
        <v>18</v>
      </c>
      <c r="C19" s="5" t="s">
        <v>19</v>
      </c>
      <c r="D19" s="9">
        <v>200</v>
      </c>
      <c r="E19" s="10" t="s">
        <v>2</v>
      </c>
      <c r="F19" s="14"/>
      <c r="H19" s="101"/>
      <c r="I19" s="102" t="s">
        <v>159</v>
      </c>
      <c r="J19" s="103">
        <f>'PC-B1-3_DDR (2)'!J178</f>
        <v>123.02301813287238</v>
      </c>
      <c r="K19" s="104" t="s">
        <v>25</v>
      </c>
      <c r="L19" s="172" t="str">
        <f>'PC-B1-3_DDR (2)'!J179</f>
        <v>Pass</v>
      </c>
      <c r="R19" s="161"/>
      <c r="S19" s="161"/>
      <c r="T19" s="161"/>
    </row>
    <row r="20" spans="2:20" ht="16.2" thickBot="1">
      <c r="B20" s="8" t="s">
        <v>20</v>
      </c>
      <c r="C20" s="5"/>
      <c r="D20" s="9">
        <v>4</v>
      </c>
      <c r="F20" s="14"/>
      <c r="R20" s="161"/>
      <c r="S20" s="161"/>
      <c r="T20" s="161"/>
    </row>
    <row r="21" spans="2:20" ht="15.6">
      <c r="B21" s="8" t="s">
        <v>123</v>
      </c>
      <c r="C21" s="5" t="s">
        <v>17</v>
      </c>
      <c r="D21" s="9">
        <v>16</v>
      </c>
      <c r="E21" s="10" t="s">
        <v>2</v>
      </c>
      <c r="F21" s="11"/>
      <c r="H21" s="163" t="s">
        <v>335</v>
      </c>
      <c r="I21" s="6"/>
      <c r="J21" s="6"/>
      <c r="K21" s="6"/>
      <c r="L21" s="7"/>
      <c r="R21" s="161"/>
      <c r="S21" s="161"/>
      <c r="T21" s="161"/>
    </row>
    <row r="22" spans="2:20" ht="15.6">
      <c r="B22" s="84" t="s">
        <v>22</v>
      </c>
      <c r="C22" s="15"/>
      <c r="D22" s="16"/>
      <c r="F22" s="11"/>
      <c r="H22" s="52" t="s">
        <v>332</v>
      </c>
      <c r="I22" s="5" t="s">
        <v>152</v>
      </c>
      <c r="J22" s="158">
        <f>IF(F$5="End Stage",S22,R22)</f>
        <v>150</v>
      </c>
      <c r="K22" s="10" t="s">
        <v>25</v>
      </c>
      <c r="L22" s="13" t="s">
        <v>333</v>
      </c>
      <c r="R22" s="161">
        <v>155</v>
      </c>
      <c r="S22" s="161">
        <v>150</v>
      </c>
      <c r="T22" s="161"/>
    </row>
    <row r="23" spans="2:20" ht="16.2" thickBot="1">
      <c r="B23" s="8" t="s">
        <v>23</v>
      </c>
      <c r="C23" s="5" t="s">
        <v>24</v>
      </c>
      <c r="D23" s="9">
        <v>50</v>
      </c>
      <c r="E23" s="10" t="s">
        <v>25</v>
      </c>
      <c r="F23" s="11"/>
      <c r="H23" s="162" t="s">
        <v>332</v>
      </c>
      <c r="I23" s="39" t="s">
        <v>152</v>
      </c>
      <c r="J23" s="83">
        <v>150</v>
      </c>
      <c r="K23" s="40" t="s">
        <v>25</v>
      </c>
      <c r="L23" s="47" t="s">
        <v>334</v>
      </c>
      <c r="R23" s="161"/>
      <c r="S23" s="161"/>
      <c r="T23" s="161"/>
    </row>
    <row r="24" spans="2:20" ht="16.2" thickBot="1">
      <c r="B24" s="8" t="s">
        <v>26</v>
      </c>
      <c r="C24" s="5" t="s">
        <v>27</v>
      </c>
      <c r="D24" s="9">
        <v>500</v>
      </c>
      <c r="E24" s="10" t="s">
        <v>25</v>
      </c>
      <c r="F24" s="11" t="s">
        <v>28</v>
      </c>
      <c r="O24" t="s">
        <v>328</v>
      </c>
      <c r="P24" s="9">
        <v>150</v>
      </c>
      <c r="R24" s="161"/>
      <c r="S24" s="161"/>
      <c r="T24" s="161"/>
    </row>
    <row r="25" spans="2:20" ht="16.2" thickBot="1">
      <c r="B25" s="8" t="s">
        <v>29</v>
      </c>
      <c r="C25" s="5" t="s">
        <v>27</v>
      </c>
      <c r="D25" s="9">
        <v>500</v>
      </c>
      <c r="E25" s="10" t="s">
        <v>25</v>
      </c>
      <c r="F25" s="11" t="s">
        <v>28</v>
      </c>
      <c r="H25" s="20" t="s">
        <v>325</v>
      </c>
      <c r="I25" s="21"/>
      <c r="J25" s="22"/>
      <c r="O25" t="s">
        <v>329</v>
      </c>
      <c r="P25">
        <f>ROUNDDOWN(1+(D9-2*D14)/P24,0)</f>
        <v>6</v>
      </c>
      <c r="Q25">
        <f>1+(D9-2*D14)/P24</f>
        <v>6.8</v>
      </c>
      <c r="R25" s="161"/>
      <c r="S25" s="161"/>
      <c r="T25" s="161"/>
    </row>
    <row r="26" spans="2:20" ht="16.2" thickTop="1">
      <c r="B26" s="8" t="s">
        <v>102</v>
      </c>
      <c r="C26" s="5" t="s">
        <v>103</v>
      </c>
      <c r="D26" s="9">
        <v>500</v>
      </c>
      <c r="E26" s="10" t="s">
        <v>25</v>
      </c>
      <c r="F26" s="11" t="s">
        <v>28</v>
      </c>
      <c r="H26" s="23" t="s">
        <v>53</v>
      </c>
      <c r="I26" s="24" t="s">
        <v>72</v>
      </c>
      <c r="J26" s="25" t="s">
        <v>73</v>
      </c>
      <c r="R26" s="161"/>
      <c r="S26" s="161"/>
      <c r="T26" s="161"/>
    </row>
    <row r="27" spans="2:20" ht="15.6">
      <c r="B27" s="8" t="s">
        <v>30</v>
      </c>
      <c r="C27" s="5" t="s">
        <v>31</v>
      </c>
      <c r="D27" s="17">
        <v>200000</v>
      </c>
      <c r="E27" s="10" t="s">
        <v>25</v>
      </c>
      <c r="F27" s="11" t="s">
        <v>32</v>
      </c>
      <c r="H27" s="165">
        <f>IF(F$5="End Stage",S27,R27)</f>
        <v>9</v>
      </c>
      <c r="I27" s="27">
        <f>IF(H27=0,0,D13+0.5*D15+D18)</f>
        <v>84</v>
      </c>
      <c r="J27" s="28">
        <f>H27*I27</f>
        <v>756</v>
      </c>
      <c r="R27" s="161">
        <v>9</v>
      </c>
      <c r="S27" s="161">
        <v>9</v>
      </c>
      <c r="T27" s="161"/>
    </row>
    <row r="28" spans="2:20" ht="15.6">
      <c r="B28" s="8" t="s">
        <v>226</v>
      </c>
      <c r="C28" s="5" t="s">
        <v>227</v>
      </c>
      <c r="D28" s="9">
        <v>16</v>
      </c>
      <c r="E28" s="10" t="s">
        <v>2</v>
      </c>
      <c r="F28" s="11" t="s">
        <v>184</v>
      </c>
      <c r="H28" s="29">
        <f>IF(F$5="End Stage",S28,R28)</f>
        <v>0</v>
      </c>
      <c r="I28" s="30">
        <f>IF(H28=0,0,I27+25+D15)</f>
        <v>0</v>
      </c>
      <c r="J28" s="31">
        <f>H28*I28</f>
        <v>0</v>
      </c>
      <c r="K28" s="151"/>
      <c r="R28" s="161">
        <v>0</v>
      </c>
      <c r="S28" s="161">
        <v>0</v>
      </c>
      <c r="T28" s="161"/>
    </row>
    <row r="29" spans="2:20" ht="15.6">
      <c r="B29" s="84" t="s">
        <v>33</v>
      </c>
      <c r="D29" s="12"/>
      <c r="F29" s="13"/>
      <c r="H29" s="29">
        <v>0</v>
      </c>
      <c r="I29" s="30">
        <f>IF(H29=0,0,I28+150)</f>
        <v>0</v>
      </c>
      <c r="J29" s="31">
        <f>H29*I29</f>
        <v>0</v>
      </c>
      <c r="R29" s="161"/>
      <c r="S29" s="161"/>
      <c r="T29" s="161"/>
    </row>
    <row r="30" spans="2:20" ht="15.6">
      <c r="B30" s="8" t="s">
        <v>34</v>
      </c>
      <c r="C30" s="18" t="s">
        <v>35</v>
      </c>
      <c r="D30" s="9">
        <v>0.8</v>
      </c>
      <c r="F30" s="11" t="s">
        <v>36</v>
      </c>
      <c r="H30" s="29">
        <v>0</v>
      </c>
      <c r="I30" s="30">
        <f>IF(H30=0,0,I29+$D$13+0.5*$D$15)</f>
        <v>0</v>
      </c>
      <c r="J30" s="31">
        <f>H30*I30</f>
        <v>0</v>
      </c>
      <c r="R30" s="161"/>
      <c r="S30" s="161"/>
      <c r="T30" s="161"/>
    </row>
    <row r="31" spans="2:20" ht="16.2" thickBot="1">
      <c r="B31" s="8" t="s">
        <v>145</v>
      </c>
      <c r="C31" s="18" t="s">
        <v>35</v>
      </c>
      <c r="D31" s="9">
        <v>0.7</v>
      </c>
      <c r="F31" s="11" t="s">
        <v>36</v>
      </c>
      <c r="H31" s="29">
        <v>0</v>
      </c>
      <c r="I31" s="30">
        <f>IF(H31=0,0,I30+$D$13+0.5*$D$15)</f>
        <v>0</v>
      </c>
      <c r="J31" s="31">
        <f>H31*I31</f>
        <v>0</v>
      </c>
      <c r="R31" s="161"/>
      <c r="S31" s="161"/>
      <c r="T31" s="161"/>
    </row>
    <row r="32" spans="2:20" ht="16.2" thickBot="1">
      <c r="B32" s="84" t="s">
        <v>37</v>
      </c>
      <c r="C32" s="5"/>
      <c r="D32" s="85"/>
      <c r="F32" s="14"/>
      <c r="H32" s="20" t="s">
        <v>324</v>
      </c>
      <c r="I32" s="21"/>
      <c r="J32" s="32"/>
      <c r="R32" s="161"/>
      <c r="S32" s="161"/>
      <c r="T32" s="161"/>
    </row>
    <row r="33" spans="2:22" ht="16.2" thickTop="1">
      <c r="B33" s="8" t="s">
        <v>38</v>
      </c>
      <c r="C33" s="5" t="s">
        <v>39</v>
      </c>
      <c r="D33" s="159">
        <f>IF(F$5="End Stage",S33,R33)</f>
        <v>2400</v>
      </c>
      <c r="E33" s="10" t="s">
        <v>40</v>
      </c>
      <c r="F33" s="11" t="s">
        <v>41</v>
      </c>
      <c r="H33" s="23" t="s">
        <v>53</v>
      </c>
      <c r="I33" s="24" t="s">
        <v>72</v>
      </c>
      <c r="J33" s="25" t="s">
        <v>73</v>
      </c>
      <c r="P33">
        <v>2120</v>
      </c>
      <c r="R33" s="161">
        <v>2120</v>
      </c>
      <c r="S33" s="161">
        <v>2400</v>
      </c>
      <c r="T33" s="161"/>
      <c r="U33">
        <v>2400</v>
      </c>
      <c r="V33">
        <v>2500</v>
      </c>
    </row>
    <row r="34" spans="2:22" ht="15.6">
      <c r="B34" s="8" t="s">
        <v>42</v>
      </c>
      <c r="C34" s="5" t="s">
        <v>43</v>
      </c>
      <c r="D34" s="159">
        <f t="shared" ref="D34:D39" si="0">IF(F$5="End Stage",S34,R34)</f>
        <v>2450</v>
      </c>
      <c r="E34" s="10" t="s">
        <v>40</v>
      </c>
      <c r="F34" s="11" t="s">
        <v>41</v>
      </c>
      <c r="H34" s="26">
        <v>9</v>
      </c>
      <c r="I34" s="27">
        <f>IF(H34=0,0,D14+0.5*D16+D18)</f>
        <v>99</v>
      </c>
      <c r="J34" s="28">
        <f>H34*I34</f>
        <v>891</v>
      </c>
      <c r="L34" s="19"/>
      <c r="P34">
        <v>0</v>
      </c>
      <c r="R34" s="161">
        <v>0</v>
      </c>
      <c r="S34" s="161">
        <v>2450</v>
      </c>
      <c r="T34" s="161"/>
      <c r="U34">
        <v>1770</v>
      </c>
      <c r="V34">
        <v>1780</v>
      </c>
    </row>
    <row r="35" spans="2:22" ht="15.6">
      <c r="B35" s="173" t="s">
        <v>337</v>
      </c>
      <c r="C35" s="5" t="s">
        <v>225</v>
      </c>
      <c r="D35" s="159">
        <f t="shared" si="0"/>
        <v>-1120</v>
      </c>
      <c r="E35" s="10" t="s">
        <v>46</v>
      </c>
      <c r="F35" s="11" t="s">
        <v>41</v>
      </c>
      <c r="H35" s="29">
        <v>7</v>
      </c>
      <c r="I35" s="30">
        <f>IF(H35=0,0,I34+D16+25)</f>
        <v>160</v>
      </c>
      <c r="J35" s="31">
        <f>H35*I35</f>
        <v>1120</v>
      </c>
      <c r="P35">
        <v>0</v>
      </c>
      <c r="R35" s="161">
        <v>0</v>
      </c>
      <c r="S35" s="161">
        <f>T38</f>
        <v>-1120</v>
      </c>
      <c r="T35" s="161">
        <v>630</v>
      </c>
      <c r="U35">
        <v>1530</v>
      </c>
      <c r="V35">
        <v>1660</v>
      </c>
    </row>
    <row r="36" spans="2:22" ht="15.6">
      <c r="B36" s="8" t="s">
        <v>44</v>
      </c>
      <c r="C36" s="5" t="s">
        <v>45</v>
      </c>
      <c r="D36" s="159">
        <f t="shared" si="0"/>
        <v>1185</v>
      </c>
      <c r="E36" s="10" t="s">
        <v>46</v>
      </c>
      <c r="F36" s="11" t="s">
        <v>41</v>
      </c>
      <c r="H36" s="29">
        <v>0</v>
      </c>
      <c r="I36" s="30">
        <f>IF(H36=0,0,I35+$D$13+0.5*$D$16)</f>
        <v>0</v>
      </c>
      <c r="J36" s="31">
        <f>H36*I36</f>
        <v>0</v>
      </c>
      <c r="P36">
        <v>880</v>
      </c>
      <c r="R36" s="161">
        <v>880</v>
      </c>
      <c r="S36" s="161">
        <v>1185</v>
      </c>
      <c r="T36" s="161"/>
      <c r="U36">
        <v>1160</v>
      </c>
      <c r="V36">
        <v>1200</v>
      </c>
    </row>
    <row r="37" spans="2:22" ht="15.6">
      <c r="B37" s="8" t="s">
        <v>49</v>
      </c>
      <c r="C37" s="5" t="s">
        <v>50</v>
      </c>
      <c r="D37" s="159">
        <f t="shared" si="0"/>
        <v>1365</v>
      </c>
      <c r="E37" s="10" t="s">
        <v>40</v>
      </c>
      <c r="F37" s="11" t="s">
        <v>41</v>
      </c>
      <c r="H37" s="29">
        <v>0</v>
      </c>
      <c r="I37" s="30">
        <f>IF(H37=0,0,I36+$D$13+0.5*$D$16)</f>
        <v>0</v>
      </c>
      <c r="J37" s="31">
        <f>H37*I37</f>
        <v>0</v>
      </c>
      <c r="P37">
        <v>0</v>
      </c>
      <c r="R37" s="161">
        <v>0</v>
      </c>
      <c r="S37" s="161">
        <v>1365</v>
      </c>
      <c r="T37" s="161"/>
      <c r="U37">
        <v>1360</v>
      </c>
      <c r="V37">
        <v>1520</v>
      </c>
    </row>
    <row r="38" spans="2:22" ht="15.6">
      <c r="B38" s="8" t="s">
        <v>47</v>
      </c>
      <c r="C38" s="5" t="s">
        <v>39</v>
      </c>
      <c r="D38" s="159">
        <f t="shared" si="0"/>
        <v>1800</v>
      </c>
      <c r="E38" s="10" t="s">
        <v>40</v>
      </c>
      <c r="F38" s="11" t="s">
        <v>41</v>
      </c>
      <c r="H38" s="29">
        <v>0</v>
      </c>
      <c r="I38" s="30">
        <f>IF(H38=0,0,I37+$D$13+0.5*$D$16)</f>
        <v>0</v>
      </c>
      <c r="J38" s="31">
        <f>H38*I38</f>
        <v>0</v>
      </c>
      <c r="P38">
        <v>1630</v>
      </c>
      <c r="R38" s="161">
        <v>1630</v>
      </c>
      <c r="S38" s="161">
        <v>1800</v>
      </c>
      <c r="T38" s="161">
        <v>-1120</v>
      </c>
      <c r="U38">
        <v>1810</v>
      </c>
      <c r="V38">
        <v>1880</v>
      </c>
    </row>
    <row r="39" spans="2:22" ht="16.2" thickBot="1">
      <c r="B39" s="38" t="s">
        <v>48</v>
      </c>
      <c r="C39" s="39" t="s">
        <v>43</v>
      </c>
      <c r="D39" s="160">
        <f t="shared" si="0"/>
        <v>1660</v>
      </c>
      <c r="E39" s="40" t="s">
        <v>40</v>
      </c>
      <c r="F39" s="43" t="s">
        <v>41</v>
      </c>
      <c r="H39" s="34" t="s">
        <v>74</v>
      </c>
      <c r="I39" s="35" t="s">
        <v>52</v>
      </c>
      <c r="J39" s="36"/>
      <c r="P39">
        <v>0</v>
      </c>
      <c r="R39" s="161">
        <v>0</v>
      </c>
      <c r="S39" s="161">
        <v>1660</v>
      </c>
      <c r="T39" s="161">
        <v>630</v>
      </c>
      <c r="U39">
        <v>1240</v>
      </c>
      <c r="V39">
        <v>1250</v>
      </c>
    </row>
    <row r="40" spans="2:22" ht="15" thickBot="1"/>
    <row r="41" spans="2:22" ht="18.600000000000001" thickBot="1">
      <c r="B41" s="1" t="s">
        <v>51</v>
      </c>
      <c r="C41" s="5"/>
      <c r="I41" s="48"/>
      <c r="J41" s="48"/>
    </row>
    <row r="42" spans="2:22" ht="16.2" thickBot="1">
      <c r="B42" s="5"/>
      <c r="C42" s="5"/>
      <c r="L42" s="19"/>
    </row>
    <row r="43" spans="2:22" ht="15.6">
      <c r="B43" s="37" t="s">
        <v>99</v>
      </c>
      <c r="C43" s="6"/>
      <c r="D43" s="6"/>
      <c r="E43" s="6"/>
      <c r="F43" s="7"/>
    </row>
    <row r="44" spans="2:22">
      <c r="B44" s="44" t="s">
        <v>100</v>
      </c>
      <c r="F44" s="13"/>
    </row>
    <row r="45" spans="2:22">
      <c r="B45" s="44" t="s">
        <v>109</v>
      </c>
      <c r="F45" s="13"/>
    </row>
    <row r="46" spans="2:22">
      <c r="B46" s="44"/>
      <c r="F46" s="13"/>
    </row>
    <row r="47" spans="2:22" ht="15" thickBot="1">
      <c r="B47" s="45"/>
      <c r="C47" s="46"/>
      <c r="D47" s="46"/>
      <c r="E47" s="46"/>
      <c r="F47" s="47"/>
    </row>
    <row r="48" spans="2:22" ht="15" thickBot="1"/>
    <row r="49" spans="2:16" ht="15.6">
      <c r="B49" s="67"/>
      <c r="C49" s="68"/>
      <c r="D49" s="21"/>
      <c r="E49" s="21"/>
      <c r="F49" s="22"/>
    </row>
    <row r="50" spans="2:16" ht="15.6">
      <c r="B50" s="8" t="s">
        <v>54</v>
      </c>
      <c r="C50" s="5" t="s">
        <v>1</v>
      </c>
      <c r="D50" s="70">
        <f>D8-((H34*I34)+(H35*I35)+(H36*I36)+(H37*I37)+(H38*I38))/(SUM(H34:H38))</f>
        <v>1374.3125</v>
      </c>
      <c r="E50" s="10" t="s">
        <v>2</v>
      </c>
      <c r="F50" s="14"/>
      <c r="N50" s="42"/>
    </row>
    <row r="51" spans="2:16" ht="15.6">
      <c r="B51" s="8" t="s">
        <v>295</v>
      </c>
      <c r="C51" s="5" t="s">
        <v>55</v>
      </c>
      <c r="D51" s="71">
        <f>SUM(H34:H38)*ROUND(PI()*D16^2*0.25,-1)</f>
        <v>16320</v>
      </c>
      <c r="E51" s="10" t="s">
        <v>56</v>
      </c>
      <c r="F51" s="14"/>
    </row>
    <row r="52" spans="2:16" ht="16.2" thickBot="1">
      <c r="B52" s="8" t="s">
        <v>296</v>
      </c>
      <c r="C52" s="5" t="s">
        <v>297</v>
      </c>
      <c r="D52" s="71">
        <f>SUM(H27:H31)*ROUND(PI()*D15^2*0.25,-1)</f>
        <v>9180</v>
      </c>
      <c r="E52" s="10" t="s">
        <v>56</v>
      </c>
      <c r="F52" s="13"/>
    </row>
    <row r="53" spans="2:16" ht="15.6">
      <c r="B53" s="8" t="s">
        <v>57</v>
      </c>
      <c r="C53" s="5" t="s">
        <v>58</v>
      </c>
      <c r="D53" s="70">
        <f>IF(0.85-0.0015*($D$23)&lt;0.67,0.67,0.85-0.0015*($D$23))</f>
        <v>0.77500000000000002</v>
      </c>
      <c r="F53" s="11" t="s">
        <v>59</v>
      </c>
      <c r="H53" s="133" t="s">
        <v>308</v>
      </c>
      <c r="I53" s="134" t="s">
        <v>309</v>
      </c>
      <c r="J53" s="135">
        <f>D8-((H27*I27)+(H28*I28)+(H29*I29)+(H30*I30)+(H31*I31))/(SUM(H27:H31))</f>
        <v>1416</v>
      </c>
      <c r="K53" s="135" t="s">
        <v>2</v>
      </c>
      <c r="L53" s="7"/>
    </row>
    <row r="54" spans="2:16" ht="15.6">
      <c r="B54" s="8" t="s">
        <v>60</v>
      </c>
      <c r="C54" s="18" t="s">
        <v>61</v>
      </c>
      <c r="D54" s="70">
        <f>IF(0.97-0.0025*($D$23)&lt;0.67,0.67,0.97-0.0025*($D$23))</f>
        <v>0.84499999999999997</v>
      </c>
      <c r="F54" s="11" t="s">
        <v>59</v>
      </c>
      <c r="H54" s="8" t="s">
        <v>298</v>
      </c>
      <c r="I54" s="108" t="s">
        <v>306</v>
      </c>
      <c r="J54" s="71">
        <f>J84-D86</f>
        <v>2.7212081477046013E-9</v>
      </c>
      <c r="K54" s="70" t="s">
        <v>46</v>
      </c>
      <c r="L54" s="13"/>
    </row>
    <row r="55" spans="2:16" ht="15.6">
      <c r="B55" s="8" t="s">
        <v>294</v>
      </c>
      <c r="C55" s="5" t="s">
        <v>237</v>
      </c>
      <c r="D55" s="156">
        <v>189.68854017088216</v>
      </c>
      <c r="E55" s="136" t="s">
        <v>2</v>
      </c>
      <c r="F55" s="11"/>
      <c r="H55" s="8" t="s">
        <v>62</v>
      </c>
      <c r="I55" s="108" t="s">
        <v>299</v>
      </c>
      <c r="J55" s="110">
        <f>D55/D50</f>
        <v>0.13802431409950952</v>
      </c>
      <c r="K55" s="70"/>
      <c r="L55" s="13"/>
    </row>
    <row r="56" spans="2:16" ht="15.6">
      <c r="B56" s="8" t="s">
        <v>65</v>
      </c>
      <c r="C56" s="5" t="s">
        <v>66</v>
      </c>
      <c r="D56" s="71">
        <f>0.2*((D8/D50)^2)*0.6*SQRT(D23)/D24*D9*D50</f>
        <v>2778.3903722096366</v>
      </c>
      <c r="E56" s="10" t="s">
        <v>56</v>
      </c>
      <c r="F56" s="11" t="s">
        <v>67</v>
      </c>
      <c r="H56" s="8" t="s">
        <v>63</v>
      </c>
      <c r="I56" s="5"/>
      <c r="J56" s="150" t="str">
        <f>IF(J55&gt;0.36,"Check ku","ku OK")</f>
        <v>ku OK</v>
      </c>
      <c r="K56" s="69"/>
      <c r="L56" s="11" t="s">
        <v>64</v>
      </c>
    </row>
    <row r="57" spans="2:16" ht="15.6">
      <c r="B57" s="8" t="s">
        <v>68</v>
      </c>
      <c r="C57" s="5"/>
      <c r="D57" s="57" t="str">
        <f>IF(D51&gt;D56,"Pass","Fail")</f>
        <v>Pass</v>
      </c>
      <c r="E57" t="s">
        <v>69</v>
      </c>
      <c r="F57" s="11" t="s">
        <v>317</v>
      </c>
      <c r="H57" s="8" t="s">
        <v>300</v>
      </c>
      <c r="I57" s="108" t="s">
        <v>301</v>
      </c>
      <c r="J57" s="118">
        <f>((J78*1000*(D8-I34)+J79*1000*(D8-I35)+J80*1000*(D8-I36)+J81*1000*(D8-I37)+J82*1000*(D8-I38))-(D84*1000*D54*D55*0.5)-(D78*1000*I27+D79*1000*I28+D80*1000*I29+D81*1000*I30+D82*1000*I31))*10^-6</f>
        <v>10458.823731712824</v>
      </c>
      <c r="K57" s="70" t="s">
        <v>192</v>
      </c>
      <c r="L57" s="13"/>
    </row>
    <row r="58" spans="2:16" ht="15.6">
      <c r="B58" s="8" t="s">
        <v>68</v>
      </c>
      <c r="C58" s="5"/>
      <c r="D58" s="57" t="str">
        <f>IF(D51&gt;J138,"Pass","Fail")</f>
        <v>Pass</v>
      </c>
      <c r="E58" t="s">
        <v>69</v>
      </c>
      <c r="F58" s="11" t="s">
        <v>318</v>
      </c>
      <c r="H58" s="8" t="s">
        <v>303</v>
      </c>
      <c r="I58" s="108" t="s">
        <v>302</v>
      </c>
      <c r="J58" s="118">
        <f>1.2*(D9*(D8^2)/6)*(0.6*SQRT(D23))/1000000</f>
        <v>1909.188309203678</v>
      </c>
      <c r="K58" s="70" t="s">
        <v>192</v>
      </c>
      <c r="L58" s="13"/>
    </row>
    <row r="59" spans="2:16" ht="15.6">
      <c r="B59" s="8" t="s">
        <v>239</v>
      </c>
      <c r="C59" s="5" t="s">
        <v>292</v>
      </c>
      <c r="D59" s="136">
        <v>3.0000000000000001E-3</v>
      </c>
      <c r="E59" s="136" t="s">
        <v>197</v>
      </c>
      <c r="F59" s="13"/>
      <c r="H59" s="8" t="s">
        <v>304</v>
      </c>
      <c r="I59" s="108" t="s">
        <v>305</v>
      </c>
      <c r="J59" s="118">
        <f>J57*D30</f>
        <v>8367.0589853702604</v>
      </c>
      <c r="K59" s="70" t="s">
        <v>192</v>
      </c>
      <c r="L59" s="13"/>
    </row>
    <row r="60" spans="2:16" ht="16.2" thickBot="1">
      <c r="B60" s="38" t="s">
        <v>238</v>
      </c>
      <c r="C60" s="39" t="s">
        <v>293</v>
      </c>
      <c r="D60" s="157">
        <v>2.5000000000000001E-3</v>
      </c>
      <c r="E60" s="157" t="s">
        <v>197</v>
      </c>
      <c r="F60" s="47"/>
      <c r="H60" s="38" t="s">
        <v>71</v>
      </c>
      <c r="I60" s="39"/>
      <c r="J60" s="59" t="str">
        <f>IF(J59&gt;D33,"Pass","Fail")</f>
        <v>Pass</v>
      </c>
      <c r="K60" s="40"/>
      <c r="L60" s="43" t="s">
        <v>52</v>
      </c>
      <c r="P60" s="42"/>
    </row>
    <row r="61" spans="2:16" ht="15" thickBot="1"/>
    <row r="62" spans="2:16" ht="15.6">
      <c r="B62" s="37" t="s">
        <v>240</v>
      </c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2:16">
      <c r="B63" s="127"/>
      <c r="L63" s="13"/>
    </row>
    <row r="64" spans="2:16">
      <c r="B64" s="137" t="s">
        <v>235</v>
      </c>
      <c r="C64" s="132"/>
      <c r="D64" s="138"/>
      <c r="E64" s="139"/>
      <c r="F64" s="130"/>
      <c r="G64" s="130"/>
      <c r="H64" s="129" t="s">
        <v>236</v>
      </c>
      <c r="I64" s="132"/>
      <c r="J64" s="138"/>
      <c r="K64" s="139"/>
      <c r="L64" s="146"/>
    </row>
    <row r="65" spans="2:15" ht="15.6">
      <c r="B65" s="140"/>
      <c r="C65" s="130"/>
      <c r="D65" s="141"/>
      <c r="H65" s="130"/>
      <c r="I65" s="130"/>
      <c r="J65" s="141"/>
      <c r="L65" s="146"/>
    </row>
    <row r="66" spans="2:15" ht="15.6">
      <c r="B66" s="8" t="s">
        <v>241</v>
      </c>
      <c r="C66" s="5" t="s">
        <v>282</v>
      </c>
      <c r="D66" s="142">
        <f>IF(I27=0,0,$D$59*($D$55-I27)/$D$55)</f>
        <v>1.6715064612074922E-3</v>
      </c>
      <c r="E66" s="136" t="s">
        <v>197</v>
      </c>
      <c r="H66" s="5" t="s">
        <v>261</v>
      </c>
      <c r="I66" s="5" t="s">
        <v>282</v>
      </c>
      <c r="J66" s="10">
        <f>IF(I34=0,0,$D$59*($D$8-I34-$D$55)/$D$55)</f>
        <v>1.9157374379146469E-2</v>
      </c>
      <c r="K66" s="136" t="s">
        <v>197</v>
      </c>
      <c r="L66" s="146"/>
      <c r="M66" s="130"/>
      <c r="N66" s="131"/>
      <c r="O66" s="130"/>
    </row>
    <row r="67" spans="2:15" ht="15.6">
      <c r="B67" s="8" t="s">
        <v>242</v>
      </c>
      <c r="C67" s="5" t="s">
        <v>283</v>
      </c>
      <c r="D67" s="142">
        <f>IF(I28=0,0,$D$59*($D$55-I28)/$D$55)</f>
        <v>0</v>
      </c>
      <c r="E67" s="136" t="s">
        <v>197</v>
      </c>
      <c r="H67" s="5" t="s">
        <v>262</v>
      </c>
      <c r="I67" s="5" t="s">
        <v>283</v>
      </c>
      <c r="J67" s="10">
        <f>IF(I35=0,0,$D$59*($D$8-I35-$D$55)/$D$55)</f>
        <v>1.8192635023594767E-2</v>
      </c>
      <c r="K67" s="136" t="s">
        <v>197</v>
      </c>
      <c r="L67" s="146"/>
      <c r="M67" s="130"/>
      <c r="N67" s="131"/>
      <c r="O67" s="130"/>
    </row>
    <row r="68" spans="2:15" ht="15.6">
      <c r="B68" s="8" t="s">
        <v>243</v>
      </c>
      <c r="C68" s="5" t="s">
        <v>284</v>
      </c>
      <c r="D68" s="142">
        <f>IF(I29=0,0,$D$59*($D$55-I29)/$D$55)</f>
        <v>0</v>
      </c>
      <c r="E68" s="136" t="s">
        <v>197</v>
      </c>
      <c r="H68" s="5" t="s">
        <v>263</v>
      </c>
      <c r="I68" s="5" t="s">
        <v>284</v>
      </c>
      <c r="J68" s="10">
        <f>IF(I36=0,0,$D$59*($D$8-I36-$D$55)/$D$55)</f>
        <v>0</v>
      </c>
      <c r="K68" s="136" t="s">
        <v>197</v>
      </c>
      <c r="L68" s="13"/>
      <c r="M68" s="130"/>
      <c r="N68" s="131"/>
      <c r="O68" s="130"/>
    </row>
    <row r="69" spans="2:15" ht="15.6">
      <c r="B69" s="8" t="s">
        <v>244</v>
      </c>
      <c r="C69" s="5" t="s">
        <v>285</v>
      </c>
      <c r="D69" s="142">
        <f>IF(I30=0,0,$D$59*($D$55-I30)/$D$55)</f>
        <v>0</v>
      </c>
      <c r="E69" s="136" t="s">
        <v>197</v>
      </c>
      <c r="H69" s="5" t="s">
        <v>264</v>
      </c>
      <c r="I69" s="5" t="s">
        <v>285</v>
      </c>
      <c r="J69" s="10">
        <f>IF(I37=0,0,$D$59*($D$8-I37-$D$55)/$D$55)</f>
        <v>0</v>
      </c>
      <c r="K69" s="136" t="s">
        <v>197</v>
      </c>
      <c r="L69" s="13"/>
    </row>
    <row r="70" spans="2:15" ht="15.6">
      <c r="B70" s="8" t="s">
        <v>245</v>
      </c>
      <c r="C70" s="5" t="s">
        <v>286</v>
      </c>
      <c r="D70" s="142">
        <f>IF(I31=0,0,$D$59*($D$55-I31)/$D$55)</f>
        <v>0</v>
      </c>
      <c r="E70" s="136" t="s">
        <v>197</v>
      </c>
      <c r="H70" s="5" t="s">
        <v>265</v>
      </c>
      <c r="I70" s="5" t="s">
        <v>286</v>
      </c>
      <c r="J70" s="10">
        <f>IF(I38=0,0,$D$59*($D$8-I38-$D$55)/$D$55)</f>
        <v>0</v>
      </c>
      <c r="K70" s="136" t="s">
        <v>197</v>
      </c>
      <c r="L70" s="13"/>
    </row>
    <row r="71" spans="2:15" ht="15.6">
      <c r="B71" s="143"/>
      <c r="C71" s="136"/>
      <c r="D71" s="136"/>
      <c r="E71" s="136"/>
      <c r="H71" s="70"/>
      <c r="I71" s="136"/>
      <c r="J71" s="136"/>
      <c r="K71" s="136"/>
      <c r="L71" s="13"/>
    </row>
    <row r="72" spans="2:15" ht="15" customHeight="1">
      <c r="B72" s="144" t="s">
        <v>246</v>
      </c>
      <c r="C72" s="18" t="s">
        <v>287</v>
      </c>
      <c r="D72" s="149">
        <f>MIN(D66*$D$27,D24)</f>
        <v>334.30129224149846</v>
      </c>
      <c r="E72" s="136" t="s">
        <v>25</v>
      </c>
      <c r="H72" s="108" t="s">
        <v>266</v>
      </c>
      <c r="I72" s="18" t="s">
        <v>287</v>
      </c>
      <c r="J72" s="149">
        <f>MIN(J66*$D$27,D25)</f>
        <v>500</v>
      </c>
      <c r="K72" s="136" t="s">
        <v>25</v>
      </c>
      <c r="L72" s="13"/>
    </row>
    <row r="73" spans="2:15" ht="18.600000000000001">
      <c r="B73" s="144" t="s">
        <v>247</v>
      </c>
      <c r="C73" s="18" t="s">
        <v>288</v>
      </c>
      <c r="D73" s="149">
        <f>MIN(D67*$D$27,D25)</f>
        <v>0</v>
      </c>
      <c r="E73" s="136" t="s">
        <v>25</v>
      </c>
      <c r="H73" s="108" t="s">
        <v>267</v>
      </c>
      <c r="I73" s="18" t="s">
        <v>288</v>
      </c>
      <c r="J73" s="149">
        <f>MIN(J67*$D$27,D26)</f>
        <v>500</v>
      </c>
      <c r="K73" s="136" t="s">
        <v>25</v>
      </c>
      <c r="L73" s="13"/>
    </row>
    <row r="74" spans="2:15" ht="15" customHeight="1">
      <c r="B74" s="144" t="s">
        <v>248</v>
      </c>
      <c r="C74" s="18" t="s">
        <v>289</v>
      </c>
      <c r="D74" s="149">
        <f>MIN(D68*$D$27,D26)</f>
        <v>0</v>
      </c>
      <c r="E74" s="136" t="s">
        <v>25</v>
      </c>
      <c r="H74" s="108" t="s">
        <v>268</v>
      </c>
      <c r="I74" s="18" t="s">
        <v>289</v>
      </c>
      <c r="J74" s="149">
        <f>MIN(J68*$D$27,D27)</f>
        <v>0</v>
      </c>
      <c r="K74" s="136" t="s">
        <v>25</v>
      </c>
      <c r="L74" s="13"/>
    </row>
    <row r="75" spans="2:15" ht="15.75" customHeight="1">
      <c r="B75" s="144" t="s">
        <v>249</v>
      </c>
      <c r="C75" s="18" t="s">
        <v>290</v>
      </c>
      <c r="D75" s="149">
        <f>MIN(D69*$D$27,D27)</f>
        <v>0</v>
      </c>
      <c r="E75" s="136" t="s">
        <v>25</v>
      </c>
      <c r="H75" s="108" t="s">
        <v>269</v>
      </c>
      <c r="I75" s="18" t="s">
        <v>290</v>
      </c>
      <c r="J75" s="149">
        <f>MIN(J69*$D$27,D28)</f>
        <v>0</v>
      </c>
      <c r="K75" s="136" t="s">
        <v>25</v>
      </c>
      <c r="L75" s="13"/>
    </row>
    <row r="76" spans="2:15" ht="15" customHeight="1">
      <c r="B76" s="144" t="s">
        <v>250</v>
      </c>
      <c r="C76" s="18" t="s">
        <v>291</v>
      </c>
      <c r="D76" s="149">
        <f>MIN(D70*$D$27,D28)</f>
        <v>0</v>
      </c>
      <c r="E76" s="136" t="s">
        <v>25</v>
      </c>
      <c r="H76" s="108" t="s">
        <v>270</v>
      </c>
      <c r="I76" s="18" t="s">
        <v>291</v>
      </c>
      <c r="J76" s="149">
        <f>MIN(J70*$D$27,D29)</f>
        <v>0</v>
      </c>
      <c r="K76" s="136" t="s">
        <v>25</v>
      </c>
      <c r="L76" s="13"/>
    </row>
    <row r="77" spans="2:15" ht="15.6">
      <c r="B77" s="145"/>
      <c r="C77" s="136"/>
      <c r="D77" s="149"/>
      <c r="E77" s="136"/>
      <c r="H77" s="70"/>
      <c r="I77" s="136"/>
      <c r="J77" s="149"/>
      <c r="K77" s="136"/>
      <c r="L77" s="13"/>
    </row>
    <row r="78" spans="2:15" ht="15.6">
      <c r="B78" s="144" t="s">
        <v>251</v>
      </c>
      <c r="C78" s="5" t="s">
        <v>256</v>
      </c>
      <c r="D78" s="149">
        <f>H27*ROUND(PI()*$D$15^2*0.25,-1)*D72*10^-3</f>
        <v>3068.8858627769559</v>
      </c>
      <c r="E78" s="136" t="s">
        <v>46</v>
      </c>
      <c r="H78" s="108" t="s">
        <v>271</v>
      </c>
      <c r="I78" s="5" t="s">
        <v>256</v>
      </c>
      <c r="J78" s="149">
        <f>H34*ROUND(PI()*$D$16^2*0.25,-1)*J72*10^-3</f>
        <v>4590</v>
      </c>
      <c r="K78" s="136" t="s">
        <v>46</v>
      </c>
      <c r="L78" s="13"/>
    </row>
    <row r="79" spans="2:15" ht="15.6">
      <c r="B79" s="144" t="s">
        <v>252</v>
      </c>
      <c r="C79" s="5" t="s">
        <v>257</v>
      </c>
      <c r="D79" s="149">
        <f>H28*ROUND(PI()*$D$15^2*0.25,-1)*D73*10^-3</f>
        <v>0</v>
      </c>
      <c r="E79" s="136" t="s">
        <v>46</v>
      </c>
      <c r="H79" s="108" t="s">
        <v>272</v>
      </c>
      <c r="I79" s="5" t="s">
        <v>257</v>
      </c>
      <c r="J79" s="149">
        <f>H35*ROUND(PI()*$D$16^2*0.25,-1)*J73*10^-3</f>
        <v>3570</v>
      </c>
      <c r="K79" s="136" t="s">
        <v>46</v>
      </c>
      <c r="L79" s="13"/>
    </row>
    <row r="80" spans="2:15" ht="15.6">
      <c r="B80" s="144" t="s">
        <v>253</v>
      </c>
      <c r="C80" s="5" t="s">
        <v>258</v>
      </c>
      <c r="D80" s="149">
        <f>H29*ROUND(PI()*$D$15^2*0.25,-1)*D74*10^-3</f>
        <v>0</v>
      </c>
      <c r="E80" s="136" t="s">
        <v>46</v>
      </c>
      <c r="H80" s="108" t="s">
        <v>273</v>
      </c>
      <c r="I80" s="5" t="s">
        <v>258</v>
      </c>
      <c r="J80" s="149">
        <f>H36*ROUND(PI()*$D$16^2*0.25,-1)*J74*10^-3</f>
        <v>0</v>
      </c>
      <c r="K80" s="136" t="s">
        <v>46</v>
      </c>
      <c r="L80" s="13"/>
    </row>
    <row r="81" spans="2:12" ht="15.6">
      <c r="B81" s="144" t="s">
        <v>254</v>
      </c>
      <c r="C81" s="5" t="s">
        <v>259</v>
      </c>
      <c r="D81" s="149">
        <f>H30*ROUND(PI()*$D$15^2*0.25,-1)*D75*10^-3</f>
        <v>0</v>
      </c>
      <c r="E81" s="136" t="s">
        <v>46</v>
      </c>
      <c r="H81" s="108" t="s">
        <v>274</v>
      </c>
      <c r="I81" s="5" t="s">
        <v>259</v>
      </c>
      <c r="J81" s="149">
        <f>H37*ROUND(PI()*$D$16^2*0.25,-1)*J75*10^-3</f>
        <v>0</v>
      </c>
      <c r="K81" s="136" t="s">
        <v>46</v>
      </c>
      <c r="L81" s="13"/>
    </row>
    <row r="82" spans="2:12" ht="15.6">
      <c r="B82" s="144" t="s">
        <v>255</v>
      </c>
      <c r="C82" s="5" t="s">
        <v>260</v>
      </c>
      <c r="D82" s="149">
        <f>H31*ROUND(PI()*$D$15^2*0.25,-1)*D76*10^-3</f>
        <v>0</v>
      </c>
      <c r="E82" s="136" t="s">
        <v>46</v>
      </c>
      <c r="H82" s="108" t="s">
        <v>275</v>
      </c>
      <c r="I82" s="5" t="s">
        <v>260</v>
      </c>
      <c r="J82" s="149">
        <f>H38*ROUND(PI()*$D$16^2*0.25,-1)*J76*10^-3</f>
        <v>0</v>
      </c>
      <c r="K82" s="136" t="s">
        <v>46</v>
      </c>
      <c r="L82" s="13"/>
    </row>
    <row r="83" spans="2:12" ht="15.6">
      <c r="B83" s="143"/>
      <c r="C83" s="136"/>
      <c r="D83" s="149"/>
      <c r="E83" s="136"/>
      <c r="H83" s="70"/>
      <c r="I83" s="136"/>
      <c r="J83" s="136"/>
      <c r="K83" s="136"/>
      <c r="L83" s="13"/>
    </row>
    <row r="84" spans="2:12" ht="15.6">
      <c r="B84" s="144" t="s">
        <v>276</v>
      </c>
      <c r="C84" s="5" t="s">
        <v>277</v>
      </c>
      <c r="D84" s="149">
        <f>D53*D54*D23*D9*D55*10^-3</f>
        <v>6211.1141372203228</v>
      </c>
      <c r="E84" s="136" t="s">
        <v>46</v>
      </c>
      <c r="H84" s="5" t="s">
        <v>280</v>
      </c>
      <c r="I84" s="5" t="s">
        <v>281</v>
      </c>
      <c r="J84" s="72">
        <f>SUM(J78:J82)-D35/2</f>
        <v>8720</v>
      </c>
      <c r="K84" s="10" t="s">
        <v>46</v>
      </c>
      <c r="L84" s="13"/>
    </row>
    <row r="85" spans="2:12" ht="15.6">
      <c r="B85" s="143"/>
      <c r="C85" s="136"/>
      <c r="D85" s="136"/>
      <c r="E85" s="136"/>
      <c r="L85" s="13"/>
    </row>
    <row r="86" spans="2:12" ht="15.6">
      <c r="B86" s="8" t="s">
        <v>278</v>
      </c>
      <c r="C86" s="5" t="s">
        <v>279</v>
      </c>
      <c r="D86" s="72">
        <f>D84+SUM(D78:D82)+D35/2</f>
        <v>8719.9999999972788</v>
      </c>
      <c r="E86" s="10" t="s">
        <v>46</v>
      </c>
      <c r="L86" s="13"/>
    </row>
    <row r="87" spans="2:12" ht="15" thickBot="1">
      <c r="B87" s="128"/>
      <c r="C87" s="46"/>
      <c r="D87" s="46"/>
      <c r="E87" s="46"/>
      <c r="F87" s="46"/>
      <c r="G87" s="46"/>
      <c r="H87" s="46"/>
      <c r="I87" s="46"/>
      <c r="J87" s="46"/>
      <c r="K87" s="46"/>
      <c r="L87" s="47"/>
    </row>
    <row r="88" spans="2:12" ht="15" thickBot="1"/>
    <row r="89" spans="2:12" ht="18.600000000000001" thickBot="1">
      <c r="B89" s="1" t="s">
        <v>92</v>
      </c>
      <c r="C89" s="2"/>
      <c r="L89" s="19"/>
    </row>
    <row r="90" spans="2:12" ht="15" thickBot="1"/>
    <row r="91" spans="2:12" ht="15.6">
      <c r="B91" s="37" t="s">
        <v>99</v>
      </c>
      <c r="C91" s="6"/>
      <c r="D91" s="6"/>
      <c r="E91" s="6"/>
      <c r="F91" s="7"/>
    </row>
    <row r="92" spans="2:12">
      <c r="B92" s="44" t="s">
        <v>100</v>
      </c>
      <c r="F92" s="13"/>
    </row>
    <row r="93" spans="2:12" ht="15" thickBot="1">
      <c r="B93" s="122" t="s">
        <v>109</v>
      </c>
      <c r="C93" s="46"/>
      <c r="D93" s="46"/>
      <c r="E93" s="46"/>
      <c r="F93" s="47"/>
    </row>
    <row r="94" spans="2:12" ht="15" thickBot="1"/>
    <row r="95" spans="2:12" ht="15.75" customHeight="1">
      <c r="B95" s="37" t="s">
        <v>172</v>
      </c>
      <c r="C95" s="21"/>
      <c r="D95" s="21"/>
      <c r="E95" s="21"/>
      <c r="F95" s="22"/>
      <c r="H95" s="37" t="s">
        <v>173</v>
      </c>
      <c r="I95" s="21"/>
      <c r="J95" s="21"/>
      <c r="K95" s="21"/>
      <c r="L95" s="22"/>
    </row>
    <row r="96" spans="2:12" ht="15.75" customHeight="1">
      <c r="B96" s="8" t="s">
        <v>125</v>
      </c>
      <c r="C96" s="5" t="s">
        <v>114</v>
      </c>
      <c r="D96" s="10">
        <f>'PC-B1-3_DDR (2)'!D8*'PC-B1-3_DDR (2)'!D9</f>
        <v>1500000</v>
      </c>
      <c r="E96" s="10" t="s">
        <v>56</v>
      </c>
      <c r="F96" s="11" t="s">
        <v>93</v>
      </c>
      <c r="H96" s="8" t="s">
        <v>125</v>
      </c>
      <c r="I96" s="5" t="s">
        <v>114</v>
      </c>
      <c r="J96" s="10">
        <f>'PC-B1-3_DDR (2)'!D8*'PC-B1-3_DDR (2)'!D9</f>
        <v>1500000</v>
      </c>
      <c r="K96" s="10" t="s">
        <v>56</v>
      </c>
      <c r="L96" s="11" t="s">
        <v>93</v>
      </c>
    </row>
    <row r="97" spans="2:12" ht="15.6">
      <c r="B97" s="8" t="s">
        <v>126</v>
      </c>
      <c r="C97" s="5" t="s">
        <v>115</v>
      </c>
      <c r="D97" s="10">
        <f>2*'PC-B1-3_DDR (2)'!D8+2*'PC-B1-3_DDR (2)'!D9</f>
        <v>5000</v>
      </c>
      <c r="E97" s="10" t="s">
        <v>2</v>
      </c>
      <c r="F97" s="11" t="s">
        <v>93</v>
      </c>
      <c r="H97" s="8" t="s">
        <v>126</v>
      </c>
      <c r="I97" s="5" t="s">
        <v>115</v>
      </c>
      <c r="J97" s="10">
        <f>2*'PC-B1-3_DDR (2)'!D8+2*'PC-B1-3_DDR (2)'!D9</f>
        <v>5000</v>
      </c>
      <c r="K97" s="10" t="s">
        <v>2</v>
      </c>
      <c r="L97" s="11" t="s">
        <v>93</v>
      </c>
    </row>
    <row r="98" spans="2:12" ht="15.6">
      <c r="B98" s="8" t="s">
        <v>94</v>
      </c>
      <c r="C98" s="5" t="s">
        <v>116</v>
      </c>
      <c r="D98" s="60">
        <f>0.33*SQRT('PC-B1-3_DDR (2)'!D23)*((D96^2)/(D97))*SQRT(1)*10^-6</f>
        <v>1050.053570062023</v>
      </c>
      <c r="E98" s="50" t="s">
        <v>40</v>
      </c>
      <c r="F98" s="11" t="s">
        <v>93</v>
      </c>
      <c r="H98" s="8" t="s">
        <v>94</v>
      </c>
      <c r="I98" s="5" t="s">
        <v>116</v>
      </c>
      <c r="J98" s="60">
        <f>0.33*SQRT('PC-B1-3_DDR (2)'!D23)*((J96^2)/(J97))*SQRT(1)*10^-6</f>
        <v>1050.053570062023</v>
      </c>
      <c r="K98" s="50" t="s">
        <v>40</v>
      </c>
      <c r="L98" s="11" t="s">
        <v>93</v>
      </c>
    </row>
    <row r="99" spans="2:12" ht="15.6">
      <c r="B99" s="8" t="s">
        <v>95</v>
      </c>
      <c r="C99" s="5"/>
      <c r="D99" s="57" t="str">
        <f>IF(0.25*'PC-B1-3_DDR (2)'!D31*D98&gt;'PC-B1-3_DDR (2)'!D37,"Pass","Fail")</f>
        <v>Fail</v>
      </c>
      <c r="E99" s="51"/>
      <c r="F99" s="11" t="s">
        <v>96</v>
      </c>
      <c r="H99" s="8" t="s">
        <v>95</v>
      </c>
      <c r="I99" s="5"/>
      <c r="J99" s="57" t="str">
        <f>IF(0.25*'PC-B1-3_DDR (2)'!D31*J98&gt;'PC-B1-3_DDR (2)'!D37,"Pass","Fail")</f>
        <v>Fail</v>
      </c>
      <c r="K99" s="51"/>
      <c r="L99" s="11" t="s">
        <v>96</v>
      </c>
    </row>
    <row r="100" spans="2:12" ht="15.6">
      <c r="B100" s="8" t="s">
        <v>101</v>
      </c>
      <c r="C100" s="5" t="s">
        <v>117</v>
      </c>
      <c r="D100" s="60">
        <f>ROUND(PI()*'PC-B1-3_DDR (2)'!D21^2/4,-1)*2</f>
        <v>400</v>
      </c>
      <c r="E100" s="10" t="s">
        <v>56</v>
      </c>
      <c r="F100" s="11" t="s">
        <v>108</v>
      </c>
      <c r="H100" s="8" t="s">
        <v>101</v>
      </c>
      <c r="I100" s="5" t="s">
        <v>117</v>
      </c>
      <c r="J100" s="60">
        <f>ROUND(PI()*'PC-B1-3_DDR (2)'!D21^2/4,-1)*2</f>
        <v>400</v>
      </c>
      <c r="K100" s="10" t="s">
        <v>56</v>
      </c>
      <c r="L100" s="11" t="s">
        <v>108</v>
      </c>
    </row>
    <row r="101" spans="2:12" ht="15.6">
      <c r="B101" s="8" t="s">
        <v>107</v>
      </c>
      <c r="C101" s="5" t="s">
        <v>118</v>
      </c>
      <c r="D101" s="49">
        <f>MAX('PC-B1-3_DDR (2)'!D8:D9)-'PC-B1-3_DDR (2)'!D13-'PC-B1-3_DDR (2)'!D14-'PC-B1-3_DDR (2)'!D21</f>
        <v>1369</v>
      </c>
      <c r="E101" s="10" t="s">
        <v>2</v>
      </c>
      <c r="F101" s="11" t="s">
        <v>108</v>
      </c>
      <c r="H101" s="8" t="s">
        <v>107</v>
      </c>
      <c r="I101" s="5" t="s">
        <v>118</v>
      </c>
      <c r="J101" s="49">
        <f>MAX('PC-B1-3_DDR (2)'!D8:D9)-'PC-B1-3_DDR (2)'!D13-'PC-B1-3_DDR (2)'!D14-'PC-B1-3_DDR (2)'!D21</f>
        <v>1369</v>
      </c>
      <c r="K101" s="10" t="s">
        <v>2</v>
      </c>
      <c r="L101" s="11" t="s">
        <v>108</v>
      </c>
    </row>
    <row r="102" spans="2:12" ht="15.6">
      <c r="B102" s="8" t="s">
        <v>79</v>
      </c>
      <c r="C102" s="15" t="s">
        <v>80</v>
      </c>
      <c r="D102" s="60">
        <f>IF(D149="Simplified Method",36,D159)</f>
        <v>41.311825996299703</v>
      </c>
      <c r="E102" s="10" t="s">
        <v>81</v>
      </c>
      <c r="F102" s="11" t="s">
        <v>122</v>
      </c>
      <c r="H102" s="8" t="s">
        <v>79</v>
      </c>
      <c r="I102" s="15" t="s">
        <v>80</v>
      </c>
      <c r="J102" s="60">
        <f>IF(J149="Simplified Method",36,J159)</f>
        <v>35.961209556817366</v>
      </c>
      <c r="K102" s="10" t="s">
        <v>81</v>
      </c>
      <c r="L102" s="11" t="s">
        <v>122</v>
      </c>
    </row>
    <row r="103" spans="2:12" ht="30">
      <c r="B103" s="63" t="s">
        <v>110</v>
      </c>
      <c r="C103" s="64" t="s">
        <v>111</v>
      </c>
      <c r="D103" s="64">
        <f>D101*(MIN('PC-B1-3_DDR (2)'!D8:D9)-'PC-B1-3_DDR (2)'!D13-'PC-B1-3_DDR (2)'!D14-'PC-B1-3_DDR (2)'!D18)</f>
        <v>1189661</v>
      </c>
      <c r="E103" s="65" t="s">
        <v>56</v>
      </c>
      <c r="F103" s="66" t="s">
        <v>119</v>
      </c>
      <c r="H103" s="63" t="s">
        <v>110</v>
      </c>
      <c r="I103" s="64" t="s">
        <v>111</v>
      </c>
      <c r="J103" s="64">
        <f>J101*(MIN('PC-B1-3_DDR (2)'!D8:D9)-'PC-B1-3_DDR (2)'!D13-'PC-B1-3_DDR (2)'!D14-'PC-B1-3_DDR (2)'!D18)</f>
        <v>1189661</v>
      </c>
      <c r="K103" s="65" t="s">
        <v>56</v>
      </c>
      <c r="L103" s="66" t="s">
        <v>119</v>
      </c>
    </row>
    <row r="104" spans="2:12" ht="15.6">
      <c r="B104" s="8" t="s">
        <v>112</v>
      </c>
      <c r="C104" s="5" t="s">
        <v>113</v>
      </c>
      <c r="D104" s="60">
        <f>2*D103*((D100*'PC-B1-3_DDR (2)'!D26)/'PC-B1-3_DDR (2)'!D19)*_xlfn.COT(RADIANS(D102))*10^-6</f>
        <v>2707.1982631012129</v>
      </c>
      <c r="E104" s="10" t="s">
        <v>40</v>
      </c>
      <c r="F104" s="11" t="s">
        <v>119</v>
      </c>
      <c r="H104" s="8" t="s">
        <v>112</v>
      </c>
      <c r="I104" s="5" t="s">
        <v>113</v>
      </c>
      <c r="J104" s="60">
        <f>2*J103*((J100*'PC-B1-3_DDR (2)'!D26)/'PC-B1-3_DDR (2)'!D19)*_xlfn.COT(RADIANS(J102))*10^-6</f>
        <v>3279.5226237246143</v>
      </c>
      <c r="K104" s="10" t="s">
        <v>40</v>
      </c>
      <c r="L104" s="11" t="s">
        <v>119</v>
      </c>
    </row>
    <row r="105" spans="2:12" ht="16.2" thickBot="1">
      <c r="B105" s="38" t="s">
        <v>121</v>
      </c>
      <c r="C105" s="39" t="s">
        <v>52</v>
      </c>
      <c r="D105" s="59" t="str">
        <f>IF(OR(D98&lt;=D104,(D100/'PC-B1-3_DDR (2)'!D19)&gt;=(0.2*D101/'PC-B1-3_DDR (2)'!D26)),"Pass","Fail")</f>
        <v>Pass</v>
      </c>
      <c r="E105" s="46"/>
      <c r="F105" s="43" t="s">
        <v>108</v>
      </c>
      <c r="H105" s="38" t="s">
        <v>121</v>
      </c>
      <c r="I105" s="39" t="s">
        <v>52</v>
      </c>
      <c r="J105" s="59" t="str">
        <f>IF(OR(J98&lt;=J104,(J100/'PC-B1-3_DDR (2)'!D19)&gt;=(0.2*J101/'PC-B1-3_DDR (2)'!D26)),"Pass","Fail")</f>
        <v>Pass</v>
      </c>
      <c r="K105" s="46"/>
      <c r="L105" s="43" t="s">
        <v>108</v>
      </c>
    </row>
    <row r="106" spans="2:12" ht="15" thickBot="1"/>
    <row r="107" spans="2:12" ht="18.600000000000001" thickBot="1">
      <c r="B107" s="1" t="s">
        <v>98</v>
      </c>
      <c r="C107" s="2"/>
      <c r="H107" s="1" t="s">
        <v>234</v>
      </c>
      <c r="L107" s="19"/>
    </row>
    <row r="108" spans="2:12" ht="15" thickBot="1"/>
    <row r="109" spans="2:12" ht="15.6">
      <c r="B109" s="37" t="s">
        <v>99</v>
      </c>
      <c r="C109" s="6"/>
      <c r="D109" s="6"/>
      <c r="E109" s="6"/>
      <c r="F109" s="7"/>
      <c r="H109" s="125" t="s">
        <v>222</v>
      </c>
      <c r="I109" s="6"/>
      <c r="J109" s="6"/>
      <c r="K109" s="6"/>
      <c r="L109" s="7"/>
    </row>
    <row r="110" spans="2:12">
      <c r="B110" s="44" t="s">
        <v>100</v>
      </c>
      <c r="F110" s="13"/>
      <c r="H110" s="126" t="s">
        <v>223</v>
      </c>
      <c r="L110" s="13"/>
    </row>
    <row r="111" spans="2:12">
      <c r="B111" s="44" t="s">
        <v>109</v>
      </c>
      <c r="F111" s="13"/>
      <c r="H111" s="155" t="s">
        <v>323</v>
      </c>
      <c r="L111" s="13"/>
    </row>
    <row r="112" spans="2:12">
      <c r="B112" s="44" t="s">
        <v>120</v>
      </c>
      <c r="F112" s="13"/>
      <c r="H112" s="127"/>
      <c r="L112" s="13"/>
    </row>
    <row r="113" spans="2:12">
      <c r="B113" s="44" t="s">
        <v>233</v>
      </c>
      <c r="F113" s="13"/>
      <c r="H113" s="127"/>
      <c r="L113" s="13"/>
    </row>
    <row r="114" spans="2:12" ht="15" thickBot="1">
      <c r="B114" s="154" t="s">
        <v>144</v>
      </c>
      <c r="C114" s="46"/>
      <c r="D114" s="46"/>
      <c r="E114" s="46"/>
      <c r="F114" s="47"/>
      <c r="H114" s="128"/>
      <c r="I114" s="46"/>
      <c r="J114" s="46"/>
      <c r="K114" s="46"/>
      <c r="L114" s="47"/>
    </row>
    <row r="117" spans="2:12" ht="15" thickBot="1"/>
    <row r="118" spans="2:12" ht="15.6">
      <c r="B118" s="37" t="s">
        <v>172</v>
      </c>
      <c r="C118" s="21"/>
      <c r="D118" s="21"/>
      <c r="E118" s="21"/>
      <c r="F118" s="22"/>
      <c r="H118" s="37" t="s">
        <v>173</v>
      </c>
      <c r="I118" s="21"/>
      <c r="J118" s="21"/>
      <c r="K118" s="21"/>
      <c r="L118" s="22"/>
    </row>
    <row r="119" spans="2:12" ht="15.6">
      <c r="B119" s="8" t="s">
        <v>106</v>
      </c>
      <c r="C119" s="5" t="s">
        <v>105</v>
      </c>
      <c r="D119" s="49">
        <f>0.85*J103</f>
        <v>1011211.85</v>
      </c>
      <c r="E119" t="s">
        <v>56</v>
      </c>
      <c r="F119" s="11" t="s">
        <v>137</v>
      </c>
      <c r="H119" s="8" t="s">
        <v>106</v>
      </c>
      <c r="I119" s="5" t="s">
        <v>105</v>
      </c>
      <c r="J119" s="49">
        <f>0.85*D103</f>
        <v>1011211.85</v>
      </c>
      <c r="K119" t="s">
        <v>56</v>
      </c>
      <c r="L119" s="11" t="s">
        <v>137</v>
      </c>
    </row>
    <row r="120" spans="2:12" ht="15.6">
      <c r="B120" s="8" t="s">
        <v>44</v>
      </c>
      <c r="C120" s="5" t="s">
        <v>104</v>
      </c>
      <c r="D120" s="49">
        <f>SQRT(('PC-B1-3_DDR (2)'!D36^2)+((0.9*'PC-B1-3_DDR (2)'!D37*(D127/1000))/(2*D119*10^-6))^2)</f>
        <v>2949.216075600893</v>
      </c>
      <c r="E120" t="s">
        <v>46</v>
      </c>
      <c r="F120" s="11"/>
      <c r="H120" s="8" t="s">
        <v>44</v>
      </c>
      <c r="I120" s="5" t="s">
        <v>320</v>
      </c>
      <c r="J120" s="49">
        <f>SQRT(('PC-B1-3_DDR (2)'!D36^2)+((0.9*'PC-B1-3_DDR (2)'!D37*(J127/1000))/(2*J119*10^-6))^2)</f>
        <v>2965.9125704931262</v>
      </c>
      <c r="K120" t="s">
        <v>46</v>
      </c>
      <c r="L120" s="11"/>
    </row>
    <row r="121" spans="2:12" ht="15.6">
      <c r="B121" s="8" t="s">
        <v>128</v>
      </c>
      <c r="C121" s="5" t="s">
        <v>127</v>
      </c>
      <c r="D121" s="10">
        <f>'PC-B1-3_DDR (2)'!D9</f>
        <v>1000</v>
      </c>
      <c r="E121" s="50" t="s">
        <v>129</v>
      </c>
      <c r="F121" s="11" t="s">
        <v>130</v>
      </c>
      <c r="H121" s="8" t="s">
        <v>128</v>
      </c>
      <c r="I121" s="5" t="s">
        <v>127</v>
      </c>
      <c r="J121" s="10">
        <f>'PC-B1-3_DDR (2)'!D9</f>
        <v>1000</v>
      </c>
      <c r="K121" s="50" t="s">
        <v>129</v>
      </c>
      <c r="L121" s="11" t="s">
        <v>130</v>
      </c>
    </row>
    <row r="122" spans="2:12" ht="15.6">
      <c r="B122" s="8" t="s">
        <v>132</v>
      </c>
      <c r="C122" s="5" t="s">
        <v>133</v>
      </c>
      <c r="D122" s="10">
        <f>MAX(0.72*'PC-B1-3_DDR (2)'!D8,0.9*'PC-B1-3_DDR (2)'!D11)</f>
        <v>1236.8812500000001</v>
      </c>
      <c r="E122" s="10" t="s">
        <v>2</v>
      </c>
      <c r="F122" s="11" t="s">
        <v>21</v>
      </c>
      <c r="H122" s="8" t="s">
        <v>132</v>
      </c>
      <c r="I122" s="5" t="s">
        <v>133</v>
      </c>
      <c r="J122" s="10">
        <f>MAX(0.72*'PC-B1-3_DDR (2)'!D8,0.9*'PC-B1-3_DDR (2)'!D11)</f>
        <v>1236.8812500000001</v>
      </c>
      <c r="K122" s="10" t="s">
        <v>2</v>
      </c>
      <c r="L122" s="11" t="s">
        <v>319</v>
      </c>
    </row>
    <row r="123" spans="2:12" ht="15.6">
      <c r="B123" s="8" t="s">
        <v>83</v>
      </c>
      <c r="C123" s="5" t="s">
        <v>84</v>
      </c>
      <c r="D123" s="49">
        <f>0.08*SQRT('PC-B1-3_DDR (2)'!D23)*D121/'PC-B1-3_DDR (2)'!D26*'PC-B1-3_DDR (2)'!D19</f>
        <v>226.27416997969522</v>
      </c>
      <c r="E123" s="10" t="s">
        <v>56</v>
      </c>
      <c r="F123" s="11" t="s">
        <v>131</v>
      </c>
      <c r="H123" s="8" t="s">
        <v>83</v>
      </c>
      <c r="I123" s="5" t="s">
        <v>84</v>
      </c>
      <c r="J123" s="49">
        <f>0.08*SQRT('PC-B1-3_DDR (2)'!D23)*J121/'PC-B1-3_DDR (2)'!D26*'PC-B1-3_DDR (2)'!D19</f>
        <v>226.27416997969522</v>
      </c>
      <c r="K123" s="10" t="s">
        <v>56</v>
      </c>
      <c r="L123" s="11" t="s">
        <v>131</v>
      </c>
    </row>
    <row r="124" spans="2:12" ht="15.6">
      <c r="B124" s="8" t="s">
        <v>141</v>
      </c>
      <c r="C124" s="5" t="s">
        <v>82</v>
      </c>
      <c r="D124" s="10">
        <f>(ROUND(PI()*'PC-B1-3_DDR (2)'!D18^2/4,-1))*'PC-B1-3_DDR (2)'!D20</f>
        <v>800</v>
      </c>
      <c r="E124" t="s">
        <v>56</v>
      </c>
      <c r="F124" s="13"/>
      <c r="H124" s="8" t="s">
        <v>141</v>
      </c>
      <c r="I124" s="5" t="s">
        <v>82</v>
      </c>
      <c r="J124" s="10">
        <f>(ROUND(PI()*'PC-B1-3_DDR (2)'!D18^2/4,-1))*'PC-B1-3_DDR (2)'!D20</f>
        <v>800</v>
      </c>
      <c r="K124" s="10" t="s">
        <v>56</v>
      </c>
      <c r="L124" s="13"/>
    </row>
    <row r="125" spans="2:12" ht="15.6">
      <c r="B125" s="8" t="s">
        <v>85</v>
      </c>
      <c r="C125" s="5" t="s">
        <v>52</v>
      </c>
      <c r="D125" s="57" t="str">
        <f>IF(D124&gt;D123,"Pass","Fail")</f>
        <v>Pass</v>
      </c>
      <c r="F125" s="14"/>
      <c r="H125" s="8" t="s">
        <v>85</v>
      </c>
      <c r="I125" s="5" t="s">
        <v>52</v>
      </c>
      <c r="J125" s="57" t="str">
        <f>IF(J124&gt;J123,"Pass","Fail")</f>
        <v>Pass</v>
      </c>
      <c r="L125" s="14"/>
    </row>
    <row r="126" spans="2:12" ht="15.6">
      <c r="B126" s="8" t="s">
        <v>75</v>
      </c>
      <c r="C126" s="5" t="s">
        <v>76</v>
      </c>
      <c r="D126" s="61">
        <f>0.55*(0.9*'PC-B1-3_DDR (2)'!D23*D121*D122*(((_xlfn.COT(RADIANS(J102)))+0)/(1+(_xlfn.COT(RADIANS(J102)))^2)))*10^-3*IF(D125="Pass",0.75,0.7)</f>
        <v>10913.129087288391</v>
      </c>
      <c r="E126" s="50" t="s">
        <v>46</v>
      </c>
      <c r="F126" s="11" t="s">
        <v>135</v>
      </c>
      <c r="H126" s="8" t="s">
        <v>75</v>
      </c>
      <c r="I126" s="5" t="s">
        <v>76</v>
      </c>
      <c r="J126" s="61">
        <f>0.55*(0.9*'PC-B1-3_DDR (2)'!D23*J121*J122*(((_xlfn.COT(RADIANS(D102)))+0)/(1+(_xlfn.COT(RADIANS(D102)))^2)))*10^-3*IF(J125="Pass",0.75,0.7)</f>
        <v>11384.800059642475</v>
      </c>
      <c r="K126" s="50" t="s">
        <v>46</v>
      </c>
      <c r="L126" s="11" t="s">
        <v>135</v>
      </c>
    </row>
    <row r="127" spans="2:12" ht="15.6">
      <c r="B127" s="52" t="s">
        <v>316</v>
      </c>
      <c r="C127" s="48"/>
      <c r="D127" s="62">
        <f>J101*2+(MIN('PC-B1-3_DDR (2)'!D8:D9)-'PC-B1-3_DDR (2)'!D14-'PC-B1-3_DDR (2)'!D14-'PC-B1-3_DDR (2)'!D21)*2</f>
        <v>4446</v>
      </c>
      <c r="E127" t="s">
        <v>2</v>
      </c>
      <c r="F127" s="55" t="s">
        <v>179</v>
      </c>
      <c r="H127" s="52" t="s">
        <v>322</v>
      </c>
      <c r="I127" s="33"/>
      <c r="J127" s="62">
        <f>D101*2+(MIN('PC-B1-3_DDR (2)'!D8:D9)-'PC-B1-3_DDR (2)'!D13-'PC-B1-3_DDR (2)'!D14-'PC-B1-3_DDR (2)'!D21)*2</f>
        <v>4476</v>
      </c>
      <c r="K127" s="50" t="s">
        <v>2</v>
      </c>
      <c r="L127" s="55" t="s">
        <v>179</v>
      </c>
    </row>
    <row r="128" spans="2:12" ht="15.6">
      <c r="B128" s="53"/>
      <c r="C128" s="54" t="s">
        <v>136</v>
      </c>
      <c r="D128" s="58" t="str">
        <f>IF(D126*1000/(D121*D122)&gt;=SQRT((('PC-B1-3_DDR (2)'!D36*1000/(D121*D122))^2)+(('PC-B1-3_DDR (2)'!D37*1000000*D127)/(1.7*J103^2))^2),"Pass","Fail")</f>
        <v>Pass</v>
      </c>
      <c r="E128" s="10"/>
      <c r="F128" s="55" t="s">
        <v>179</v>
      </c>
      <c r="H128" s="53"/>
      <c r="I128" s="54" t="s">
        <v>136</v>
      </c>
      <c r="J128" s="58" t="str">
        <f>IF(J126*1000/(J121*J122)&gt;=SQRT((('PC-B1-3_DDR (2)'!D36*1000/(J121*J122))^2)+(('PC-B1-3_DDR (2)'!D37*1000000*J127)/(1.7*D103^2))^2),"Pass","Fail")</f>
        <v>Pass</v>
      </c>
      <c r="K128" s="10"/>
      <c r="L128" s="55" t="s">
        <v>179</v>
      </c>
    </row>
    <row r="129" spans="2:12" ht="15.6">
      <c r="B129" s="8" t="s">
        <v>138</v>
      </c>
      <c r="C129" s="5" t="s">
        <v>139</v>
      </c>
      <c r="D129" s="56">
        <f>IF(D149="Simplified Method",0.15,D158)</f>
        <v>0.1099430145962401</v>
      </c>
      <c r="E129" s="10"/>
      <c r="F129" s="11" t="s">
        <v>140</v>
      </c>
      <c r="H129" s="8" t="s">
        <v>138</v>
      </c>
      <c r="I129" s="5" t="s">
        <v>139</v>
      </c>
      <c r="J129" s="56">
        <f>IF(J149="Simplified Method",0.15,J158)</f>
        <v>0.16053375790986546</v>
      </c>
      <c r="K129" s="10"/>
      <c r="L129" s="11" t="s">
        <v>140</v>
      </c>
    </row>
    <row r="130" spans="2:12" ht="15.6">
      <c r="B130" s="8" t="s">
        <v>77</v>
      </c>
      <c r="C130" s="5" t="s">
        <v>78</v>
      </c>
      <c r="D130" s="61">
        <f>D129*D121*D122*SQRT('PC-B1-3_DDR (2)'!D23)*10^-3*IF(J125="Pass",0.75,0.7)</f>
        <v>721.17707470420601</v>
      </c>
      <c r="E130" s="10" t="s">
        <v>46</v>
      </c>
      <c r="F130" s="11" t="s">
        <v>142</v>
      </c>
      <c r="H130" s="8" t="s">
        <v>77</v>
      </c>
      <c r="I130" s="5" t="s">
        <v>78</v>
      </c>
      <c r="J130" s="61">
        <f>J129*J121*J122*SQRT('PC-B1-3_DDR (2)'!D23)*10^-3*IF(J125="Pass",0.75,0.7)</f>
        <v>1053.0297567870152</v>
      </c>
      <c r="K130" s="10" t="s">
        <v>46</v>
      </c>
      <c r="L130" s="11" t="s">
        <v>142</v>
      </c>
    </row>
    <row r="131" spans="2:12" ht="15.6">
      <c r="B131" s="8" t="s">
        <v>86</v>
      </c>
      <c r="C131" s="5" t="s">
        <v>87</v>
      </c>
      <c r="D131" s="61">
        <f>((D124*'PC-B1-3_DDR (2)'!D26*D122/'PC-B1-3_DDR (2)'!D19)*_xlfn.COT(RADIANS(J102)))*10^-3*IF(J125="Pass",0.75,0.7)</f>
        <v>2557.2705431856948</v>
      </c>
      <c r="E131" s="10" t="s">
        <v>46</v>
      </c>
      <c r="F131" s="11" t="s">
        <v>88</v>
      </c>
      <c r="H131" s="8" t="s">
        <v>86</v>
      </c>
      <c r="I131" s="5" t="s">
        <v>87</v>
      </c>
      <c r="J131" s="61">
        <f>((J124*'PC-B1-3_DDR (2)'!D26*J122/'PC-B1-3_DDR (2)'!D19)*_xlfn.COT(RADIANS(D102)))*10^-3*IF(J125="Pass",0.75,0.7)</f>
        <v>2110.9896674320194</v>
      </c>
      <c r="K131" s="10" t="s">
        <v>46</v>
      </c>
      <c r="L131" s="11" t="s">
        <v>88</v>
      </c>
    </row>
    <row r="132" spans="2:12" ht="15.6">
      <c r="B132" s="8" t="s">
        <v>89</v>
      </c>
      <c r="C132" s="15" t="s">
        <v>90</v>
      </c>
      <c r="D132" s="72">
        <f>(D130+D131)</f>
        <v>3278.4476178899008</v>
      </c>
      <c r="E132" s="10" t="s">
        <v>46</v>
      </c>
      <c r="F132" s="11" t="s">
        <v>91</v>
      </c>
      <c r="H132" s="8" t="s">
        <v>89</v>
      </c>
      <c r="I132" s="15" t="s">
        <v>90</v>
      </c>
      <c r="J132" s="72">
        <f>(J130+J131)</f>
        <v>3164.0194242190346</v>
      </c>
      <c r="K132" s="10" t="s">
        <v>46</v>
      </c>
      <c r="L132" s="11" t="s">
        <v>91</v>
      </c>
    </row>
    <row r="133" spans="2:12" ht="15.6">
      <c r="B133" s="8" t="s">
        <v>143</v>
      </c>
      <c r="C133" s="5" t="s">
        <v>52</v>
      </c>
      <c r="D133" s="57" t="str">
        <f>IF(D132&gt;D120,"Pass","Fail")</f>
        <v>Pass</v>
      </c>
      <c r="E133" s="10"/>
      <c r="F133" s="14"/>
      <c r="H133" s="8" t="s">
        <v>143</v>
      </c>
      <c r="I133" s="5" t="s">
        <v>52</v>
      </c>
      <c r="J133" s="57" t="str">
        <f>IF(J132&gt;J120,"Pass","Fail")</f>
        <v>Pass</v>
      </c>
      <c r="K133" s="10"/>
      <c r="L133" s="14"/>
    </row>
    <row r="134" spans="2:12" ht="15.6">
      <c r="B134" s="8" t="s">
        <v>203</v>
      </c>
      <c r="C134" s="5" t="s">
        <v>204</v>
      </c>
      <c r="D134" s="61">
        <f>0.5*(D36+D130)*_xlfn.COT(RADIANS(J102))+0.5*D37*(D127/(2*D119))*10^-3*_xlfn.COT(RADIANS(D102))</f>
        <v>1313.6849415391496</v>
      </c>
      <c r="E134" s="10" t="s">
        <v>46</v>
      </c>
      <c r="F134" s="11" t="s">
        <v>205</v>
      </c>
      <c r="H134" s="8" t="s">
        <v>203</v>
      </c>
      <c r="I134" s="5" t="s">
        <v>204</v>
      </c>
      <c r="J134" s="61">
        <f>0.5*(D36+J130)*_xlfn.COT(RADIANS(D102))+0.5*D37*(J127/(2*J119))*10^-3*_xlfn.COT(RADIANS(D102))</f>
        <v>1273.2195240463284</v>
      </c>
      <c r="K134" s="10" t="s">
        <v>46</v>
      </c>
      <c r="L134" s="11" t="s">
        <v>205</v>
      </c>
    </row>
    <row r="135" spans="2:12" ht="15.6">
      <c r="B135" s="8" t="s">
        <v>206</v>
      </c>
      <c r="C135" s="5" t="s">
        <v>207</v>
      </c>
      <c r="D135" s="61">
        <f>(J55*'PC-B1-3_DDR (2)'!D54*'PC-B1-3_DDR (2)'!J53)+('PC-B1-3_DDR (2)'!J53-J55*'PC-B1-3_DDR (2)'!J53)</f>
        <v>1385.7064235414396</v>
      </c>
      <c r="E135" s="10" t="s">
        <v>2</v>
      </c>
      <c r="F135" s="11" t="s">
        <v>208</v>
      </c>
      <c r="H135" s="8" t="s">
        <v>206</v>
      </c>
      <c r="I135" s="5" t="s">
        <v>207</v>
      </c>
      <c r="J135" s="61">
        <f>('PC-B1-3_DDR (2)'!J55*'PC-B1-3_DDR (2)'!D54*'PC-B1-3_DDR (2)'!D50)+('PC-B1-3_DDR (2)'!D50-'PC-B1-3_DDR (2)'!J55*'PC-B1-3_DDR (2)'!D50)</f>
        <v>1344.9107762735134</v>
      </c>
      <c r="K135" s="10" t="s">
        <v>2</v>
      </c>
      <c r="L135" s="11" t="s">
        <v>208</v>
      </c>
    </row>
    <row r="136" spans="2:12" ht="15.6">
      <c r="B136" s="8" t="s">
        <v>209</v>
      </c>
      <c r="C136" s="5" t="s">
        <v>210</v>
      </c>
      <c r="D136" s="61">
        <f>(D34/(D135/1000))+(-'PC-B1-3_DDR (2)'!D35/2)+D134</f>
        <v>3641.7362101033477</v>
      </c>
      <c r="E136" s="10" t="s">
        <v>46</v>
      </c>
      <c r="F136" s="11" t="s">
        <v>211</v>
      </c>
      <c r="H136" s="8" t="s">
        <v>209</v>
      </c>
      <c r="I136" s="5" t="s">
        <v>210</v>
      </c>
      <c r="J136" s="61">
        <f>(D33/(J135/1000))+(-'PC-B1-3_DDR (2)'!D35/2)+J134</f>
        <v>3617.7245204669339</v>
      </c>
      <c r="K136" s="10" t="s">
        <v>46</v>
      </c>
      <c r="L136" s="11" t="s">
        <v>211</v>
      </c>
    </row>
    <row r="137" spans="2:12" ht="15.6">
      <c r="B137" s="8" t="s">
        <v>212</v>
      </c>
      <c r="C137" s="5" t="s">
        <v>213</v>
      </c>
      <c r="D137" s="56">
        <f>'PC-B1-3_DDR (2)'!D30+((0.85-'PC-B1-3_DDR (2)'!D30)*(D136/('PC-B1-3_DDR (2)'!D52*'PC-B1-3_DDR (2)'!D25*10^-3)))</f>
        <v>0.83967032908609307</v>
      </c>
      <c r="E137" s="10"/>
      <c r="F137" s="11" t="s">
        <v>214</v>
      </c>
      <c r="H137" s="8" t="s">
        <v>212</v>
      </c>
      <c r="I137" s="5" t="s">
        <v>213</v>
      </c>
      <c r="J137" s="56">
        <f>'PC-B1-3_DDR (2)'!D30+((0.85-'PC-B1-3_DDR (2)'!D30)*(J136/('PC-B1-3_DDR (2)'!D51*'PC-B1-3_DDR (2)'!D25*10^-3)))</f>
        <v>0.82216742965972389</v>
      </c>
      <c r="K137" s="10"/>
      <c r="L137" s="11" t="s">
        <v>214</v>
      </c>
    </row>
    <row r="138" spans="2:12" ht="15.6">
      <c r="B138" s="8" t="s">
        <v>215</v>
      </c>
      <c r="C138" s="5" t="s">
        <v>55</v>
      </c>
      <c r="D138" s="61">
        <f>((D136*1000)/D137)/'PC-B1-3_DDR (2)'!D24</f>
        <v>8674.2048252843615</v>
      </c>
      <c r="E138" s="10" t="s">
        <v>56</v>
      </c>
      <c r="F138" s="11" t="s">
        <v>211</v>
      </c>
      <c r="H138" s="8" t="s">
        <v>215</v>
      </c>
      <c r="I138" s="5" t="s">
        <v>55</v>
      </c>
      <c r="J138" s="61">
        <f>((J136*1000)/J137)/'PC-B1-3_DDR (2)'!D24</f>
        <v>8800.4569141451557</v>
      </c>
      <c r="K138" s="10" t="s">
        <v>56</v>
      </c>
      <c r="L138" s="11" t="s">
        <v>211</v>
      </c>
    </row>
    <row r="139" spans="2:12" ht="15.6">
      <c r="B139" s="8" t="s">
        <v>216</v>
      </c>
      <c r="C139" s="5"/>
      <c r="D139" s="58" t="str">
        <f>IF(D138&lt;D152,"Pass","Fail")</f>
        <v>Pass</v>
      </c>
      <c r="E139" s="114"/>
      <c r="F139" s="13"/>
      <c r="H139" s="8" t="s">
        <v>216</v>
      </c>
      <c r="I139" s="5"/>
      <c r="J139" s="58" t="str">
        <f>IF(J138&lt;J152,"Pass","Fail")</f>
        <v>Pass</v>
      </c>
      <c r="K139" s="114"/>
      <c r="L139" s="13"/>
    </row>
    <row r="140" spans="2:12" ht="15.6">
      <c r="B140" s="178" t="s">
        <v>228</v>
      </c>
      <c r="C140" s="179"/>
      <c r="D140" s="179"/>
      <c r="E140" s="179"/>
      <c r="F140" s="180"/>
      <c r="H140" s="178" t="s">
        <v>228</v>
      </c>
      <c r="I140" s="179"/>
      <c r="J140" s="179"/>
      <c r="K140" s="179"/>
      <c r="L140" s="180"/>
    </row>
    <row r="141" spans="2:12" ht="15.6">
      <c r="B141" s="8" t="s">
        <v>217</v>
      </c>
      <c r="C141" s="5" t="s">
        <v>218</v>
      </c>
      <c r="D141" s="61">
        <f>(-D154/(D135/1000))+('PC-B1-3_DDR (2)'!D35/2)+D134</f>
        <v>-1878.7846812735927</v>
      </c>
      <c r="E141" s="10" t="s">
        <v>46</v>
      </c>
      <c r="F141" s="11" t="s">
        <v>219</v>
      </c>
      <c r="H141" s="8" t="s">
        <v>217</v>
      </c>
      <c r="I141" s="5" t="s">
        <v>218</v>
      </c>
      <c r="J141" s="61">
        <f>(-J154/(J135/1000))+('PC-B1-3_DDR (2)'!D35/2)+J134</f>
        <v>-2014.457071531931</v>
      </c>
      <c r="K141" s="10" t="s">
        <v>46</v>
      </c>
      <c r="L141" s="11" t="s">
        <v>219</v>
      </c>
    </row>
    <row r="142" spans="2:12" ht="15.6">
      <c r="B142" s="8" t="s">
        <v>212</v>
      </c>
      <c r="C142" s="5" t="s">
        <v>213</v>
      </c>
      <c r="D142" s="56">
        <f>'PC-B1-3_DDR (2)'!D30</f>
        <v>0.8</v>
      </c>
      <c r="F142" s="11" t="s">
        <v>214</v>
      </c>
      <c r="H142" s="8" t="s">
        <v>212</v>
      </c>
      <c r="I142" s="5" t="s">
        <v>213</v>
      </c>
      <c r="J142" s="56">
        <f>'PC-B1-3_DDR (2)'!D30</f>
        <v>0.8</v>
      </c>
      <c r="L142" s="11" t="s">
        <v>214</v>
      </c>
    </row>
    <row r="143" spans="2:12" ht="15.6">
      <c r="B143" s="8" t="s">
        <v>220</v>
      </c>
      <c r="C143" s="5" t="s">
        <v>221</v>
      </c>
      <c r="D143" s="61">
        <f>(D141*1000)/D142/'PC-B1-3_DDR (2)'!D24</f>
        <v>-4696.9617031839816</v>
      </c>
      <c r="E143" s="10" t="s">
        <v>56</v>
      </c>
      <c r="F143" s="11" t="s">
        <v>219</v>
      </c>
      <c r="H143" s="8" t="s">
        <v>220</v>
      </c>
      <c r="I143" s="5" t="s">
        <v>221</v>
      </c>
      <c r="J143" s="61">
        <f>(J141*1000)/J142/'PC-B1-3_DDR (2)'!D24</f>
        <v>-5036.1426788298277</v>
      </c>
      <c r="K143" s="10" t="s">
        <v>56</v>
      </c>
      <c r="L143" s="11" t="s">
        <v>219</v>
      </c>
    </row>
    <row r="144" spans="2:12" ht="16.2" thickBot="1">
      <c r="B144" s="38" t="s">
        <v>216</v>
      </c>
      <c r="C144" s="39"/>
      <c r="D144" s="115" t="str">
        <f>IF(J143&lt;(SUM('PC-B1-3_DDR (2)'!H34:H38)*(ROUND(PI()*'PC-B1-3_DDR (2)'!D16^2*0.25,-1))),"Pass","Fail")</f>
        <v>Pass</v>
      </c>
      <c r="E144" s="116"/>
      <c r="F144" s="47"/>
      <c r="H144" s="38" t="s">
        <v>216</v>
      </c>
      <c r="I144" s="39"/>
      <c r="J144" s="115" t="str">
        <f>IF(J143&lt;(SUM('PC-B1-3_DDR (2)'!H27:H31)*(ROUND(PI()*'PC-B1-3_DDR (2)'!D15^2*0.25,-1))),"Pass","Fail")</f>
        <v>Pass</v>
      </c>
      <c r="K144" s="116"/>
      <c r="L144" s="47"/>
    </row>
    <row r="145" spans="2:12" ht="15" thickBot="1"/>
    <row r="146" spans="2:12" ht="18.600000000000001" thickBot="1">
      <c r="B146" s="1" t="s">
        <v>180</v>
      </c>
      <c r="F146" s="19"/>
      <c r="L146" s="19"/>
    </row>
    <row r="147" spans="2:12" ht="15" thickBot="1"/>
    <row r="148" spans="2:12">
      <c r="B148" s="106"/>
      <c r="C148" s="6"/>
      <c r="D148" s="6"/>
      <c r="E148" s="6"/>
      <c r="F148" s="7"/>
      <c r="H148" s="106"/>
      <c r="I148" s="6"/>
      <c r="J148" s="6"/>
      <c r="K148" s="6"/>
      <c r="L148" s="7"/>
    </row>
    <row r="149" spans="2:12" ht="15.6">
      <c r="B149" s="8" t="s">
        <v>181</v>
      </c>
      <c r="D149" s="181" t="s">
        <v>321</v>
      </c>
      <c r="E149" s="181"/>
      <c r="F149" s="107" t="str">
        <f>IF(D149="Simplified Method","[cl.8.2.4.3]","[cl.8.2.4.2]")</f>
        <v>[cl.8.2.4.2]</v>
      </c>
      <c r="H149" s="8" t="s">
        <v>181</v>
      </c>
      <c r="J149" s="181" t="s">
        <v>321</v>
      </c>
      <c r="K149" s="181"/>
      <c r="L149" s="107" t="str">
        <f>IF(J149="Simplified Method","[cl.8.2.4.3]","[cl.8.2.4.2]")</f>
        <v>[cl.8.2.4.2]</v>
      </c>
    </row>
    <row r="150" spans="2:12" ht="15.6">
      <c r="B150" s="8" t="s">
        <v>182</v>
      </c>
      <c r="C150" s="108" t="s">
        <v>183</v>
      </c>
      <c r="D150" s="70">
        <f>IF('PC-B1-3_DDR (2)'!D23&lt;=65,IF('PC-B1-3_DDR (2)'!D28&gt;=16,1,MAX(32/(16+'PC-B1-3_DDR (2)'!D28),0.8)),2)</f>
        <v>1</v>
      </c>
      <c r="E150" s="70"/>
      <c r="F150" s="11" t="s">
        <v>184</v>
      </c>
      <c r="H150" s="8" t="s">
        <v>182</v>
      </c>
      <c r="I150" s="108" t="s">
        <v>183</v>
      </c>
      <c r="J150" s="70">
        <f>IF('PC-B1-3_DDR (2)'!D23&lt;=65,IF('PC-B1-3_DDR (2)'!D28&gt;=16,1,MAX(32/(16+'PC-B1-3_DDR (2)'!D28),0.8)),2)</f>
        <v>1</v>
      </c>
      <c r="K150" s="70"/>
      <c r="L150" s="11" t="s">
        <v>184</v>
      </c>
    </row>
    <row r="151" spans="2:12" ht="15.6">
      <c r="B151" s="8" t="s">
        <v>185</v>
      </c>
      <c r="C151" s="108"/>
      <c r="D151" s="57" t="str">
        <f>IF(J99="Fail","Yes","No")</f>
        <v>Yes</v>
      </c>
      <c r="E151" s="70"/>
      <c r="F151" s="13"/>
      <c r="H151" s="8" t="s">
        <v>185</v>
      </c>
      <c r="I151" s="108"/>
      <c r="J151" s="57" t="str">
        <f>IF(D99="Fail","Yes","No")</f>
        <v>Yes</v>
      </c>
      <c r="K151" s="70"/>
      <c r="L151" s="13"/>
    </row>
    <row r="152" spans="2:12" ht="15.6">
      <c r="B152" s="8" t="s">
        <v>186</v>
      </c>
      <c r="C152" s="108" t="s">
        <v>55</v>
      </c>
      <c r="D152" s="71">
        <f>'PC-B1-3_DDR (2)'!D52</f>
        <v>9180</v>
      </c>
      <c r="E152" s="70" t="s">
        <v>56</v>
      </c>
      <c r="F152" s="11" t="s">
        <v>187</v>
      </c>
      <c r="H152" s="8" t="s">
        <v>186</v>
      </c>
      <c r="I152" s="108" t="s">
        <v>55</v>
      </c>
      <c r="J152" s="71">
        <f>'PC-B1-3_DDR (2)'!D51</f>
        <v>16320</v>
      </c>
      <c r="K152" s="70" t="s">
        <v>56</v>
      </c>
      <c r="L152" s="11" t="s">
        <v>187</v>
      </c>
    </row>
    <row r="153" spans="2:12" ht="15.6">
      <c r="B153" s="8" t="s">
        <v>188</v>
      </c>
      <c r="C153" s="108" t="s">
        <v>189</v>
      </c>
      <c r="D153" s="70">
        <f>J96/2-'PC-B1-3_DDR (2)'!D52</f>
        <v>740820</v>
      </c>
      <c r="E153" s="70" t="s">
        <v>56</v>
      </c>
      <c r="F153" s="11" t="s">
        <v>187</v>
      </c>
      <c r="H153" s="8" t="s">
        <v>188</v>
      </c>
      <c r="I153" s="108" t="s">
        <v>189</v>
      </c>
      <c r="J153" s="70">
        <f>D96/2-'PC-B1-3_DDR (2)'!D51</f>
        <v>733680</v>
      </c>
      <c r="K153" s="70" t="s">
        <v>56</v>
      </c>
      <c r="L153" s="11" t="s">
        <v>187</v>
      </c>
    </row>
    <row r="154" spans="2:12" ht="15.6">
      <c r="B154" s="8" t="s">
        <v>190</v>
      </c>
      <c r="C154" s="108" t="s">
        <v>191</v>
      </c>
      <c r="D154" s="118">
        <f>IF(D151="Yes",IF('PC-B1-3_DDR (2)'!J34&gt;=(D122/1000)*SQRT(('PC-B1-3_DDR (2)'!D36^2)+((0.9*'PC-B1-3_DDR (2)'!D37*D127/1000)/(2*D119/1000000))^2),'PC-B1-3_DDR (2)'!D34,(D122/1000)*SQRT(('PC-B1-3_DDR (2)'!D36^2)+((0.9*'PC-B1-3_DDR (2)'!D37*D127/1000)/(2*D119/1000000))^2)),IF('PC-B1-3_DDR (2)'!D34&gt;=('PC-B1-3_DDR (2)'!D36*D122/1000),'PC-B1-3_DDR (2)'!D34,('PC-B1-3_DDR (2)'!D36*D122/1000)))</f>
        <v>3647.8300661093276</v>
      </c>
      <c r="E154" s="70" t="s">
        <v>192</v>
      </c>
      <c r="F154" s="11" t="s">
        <v>187</v>
      </c>
      <c r="H154" s="8" t="s">
        <v>190</v>
      </c>
      <c r="I154" s="108" t="s">
        <v>191</v>
      </c>
      <c r="J154" s="118">
        <f>IF(J151="Yes",IF('PC-B1-3_DDR (2)'!D34&gt;=(J122/1000)*SQRT(('PC-B1-3_DDR (2)'!D36^2)+((0.9*'PC-B1-3_DDR (2)'!D37*J127/1000)/(2*J119/1000000))^2),'PC-B1-3_DDR (2)'!D34,(J122/1000)*SQRT(('PC-B1-3_DDR (2)'!D36^2)+((0.9*'PC-B1-3_DDR (2)'!D37*J127/1000)/(2*J119/1000000))^2)),IF('PC-B1-3_DDR (2)'!D34&gt;=('PC-B1-3_DDR (2)'!D36*J122/1000),'PC-B1-3_DDR (2)'!D34,('PC-B1-3_DDR (2)'!D36*J122/1000)))</f>
        <v>3668.4816475822513</v>
      </c>
      <c r="K154" s="70" t="s">
        <v>192</v>
      </c>
      <c r="L154" s="11" t="s">
        <v>187</v>
      </c>
    </row>
    <row r="155" spans="2:12" ht="15.6">
      <c r="B155" s="8" t="s">
        <v>193</v>
      </c>
      <c r="C155" s="108" t="s">
        <v>194</v>
      </c>
      <c r="D155" s="70">
        <f>IF(D151="Yes",ABS(D154/(D122/1000))+SQRT((ABS('PC-B1-3_DDR (2)'!D36)^2)+((0.9*'PC-B1-3_DDR (2)'!D37*D127/1000)/(2*D119/1000000))^2)+0.5*(-1*'PC-B1-3_DDR (2)'!D35),ABS(D154/(D122/1000))+ABS('PC-B1-3_DDR (2)'!D36)+0.5*(-1*'PC-B1-3_DDR (2)'!D35))</f>
        <v>6458.4321512017859</v>
      </c>
      <c r="E155" s="70" t="s">
        <v>46</v>
      </c>
      <c r="F155" s="11" t="s">
        <v>187</v>
      </c>
      <c r="H155" s="8" t="s">
        <v>193</v>
      </c>
      <c r="I155" s="108" t="s">
        <v>194</v>
      </c>
      <c r="J155" s="117">
        <f>IF(J151="Yes",ABS(J154/(J122/1000))+SQRT((ABS('PC-B1-3_DDR (2)'!D36)^2)+((0.9*'PC-B1-3_DDR (2)'!D37*J127/1000)/(2*J119/1000000))^2)+0.5*(-1*'PC-B1-3_DDR (2)'!D35),ABS(J154/(J122/1000))+ABS('PC-B1-3_DDR (2)'!D36)+0.5*(-1*'PC-B1-3_DDR (2)'!D35))</f>
        <v>6491.8251409862523</v>
      </c>
      <c r="K155" s="70" t="s">
        <v>46</v>
      </c>
      <c r="L155" s="11" t="s">
        <v>187</v>
      </c>
    </row>
    <row r="156" spans="2:12" ht="15.6">
      <c r="B156" s="8" t="s">
        <v>195</v>
      </c>
      <c r="C156" s="108" t="s">
        <v>196</v>
      </c>
      <c r="D156" s="109">
        <f>MIN(D155*1000/(2*('PC-B1-3_DDR (2)'!D27*'PC-B1-3_DDR (2)'!D52)),3*10^-3)</f>
        <v>1.7588322851856714E-3</v>
      </c>
      <c r="E156" s="70" t="s">
        <v>197</v>
      </c>
      <c r="F156" s="11" t="s">
        <v>187</v>
      </c>
      <c r="H156" s="8" t="s">
        <v>195</v>
      </c>
      <c r="I156" s="108" t="s">
        <v>196</v>
      </c>
      <c r="J156" s="109">
        <f>MIN(J155*1000/(2*('PC-B1-3_DDR (2)'!D27*'PC-B1-3_DDR (2)'!D51)),3*10^-3)</f>
        <v>9.9445850811676669E-4</v>
      </c>
      <c r="K156" s="70" t="s">
        <v>197</v>
      </c>
      <c r="L156" s="11" t="s">
        <v>187</v>
      </c>
    </row>
    <row r="157" spans="2:12" ht="15.6">
      <c r="B157" s="8" t="s">
        <v>198</v>
      </c>
      <c r="C157" s="108" t="s">
        <v>196</v>
      </c>
      <c r="D157" s="109">
        <f>IF(D156&lt;0,MAX(D155*1000/(2*('PC-B1-3_DDR (2)'!D27*D152+J169*D153)),-0.2*10^-3),D156)</f>
        <v>1.7588322851856714E-3</v>
      </c>
      <c r="E157" s="70" t="s">
        <v>197</v>
      </c>
      <c r="F157" s="11" t="s">
        <v>187</v>
      </c>
      <c r="H157" s="8" t="s">
        <v>198</v>
      </c>
      <c r="I157" s="108" t="s">
        <v>196</v>
      </c>
      <c r="J157" s="109">
        <f>IF(J156&lt;0,MAX(J155*1000/(2*('PC-B1-3_DDR (2)'!D27*J152+D169*J153)),-0.2*10^-3),J156)</f>
        <v>9.9445850811676669E-4</v>
      </c>
      <c r="K157" s="70" t="s">
        <v>197</v>
      </c>
      <c r="L157" s="11" t="s">
        <v>187</v>
      </c>
    </row>
    <row r="158" spans="2:12" ht="15.6">
      <c r="B158" s="8" t="s">
        <v>199</v>
      </c>
      <c r="C158" s="108" t="s">
        <v>139</v>
      </c>
      <c r="D158" s="110">
        <f>IF(D125="Pass",(0.4/(1+1500*D157)),(0.4/(1+1500*D157))*(1300/(1000+D150*D122)))</f>
        <v>0.1099430145962401</v>
      </c>
      <c r="E158" s="70"/>
      <c r="F158" s="11" t="str">
        <f>F149</f>
        <v>[cl.8.2.4.2]</v>
      </c>
      <c r="H158" s="8" t="s">
        <v>199</v>
      </c>
      <c r="I158" s="108" t="s">
        <v>139</v>
      </c>
      <c r="J158" s="110">
        <f>IF(J125="Pass",(0.4/(1+1500*J157)),(0.4/(1+1500*J157))*(1300/(1000+J150*J122)))</f>
        <v>0.16053375790986546</v>
      </c>
      <c r="K158" s="70"/>
      <c r="L158" s="11" t="str">
        <f>L149</f>
        <v>[cl.8.2.4.2]</v>
      </c>
    </row>
    <row r="159" spans="2:12" ht="16.2" thickBot="1">
      <c r="B159" s="38" t="s">
        <v>200</v>
      </c>
      <c r="C159" s="111" t="s">
        <v>201</v>
      </c>
      <c r="D159" s="112">
        <f>(29+7000*D157)</f>
        <v>41.311825996299703</v>
      </c>
      <c r="E159" s="113" t="s">
        <v>202</v>
      </c>
      <c r="F159" s="43" t="str">
        <f>F158</f>
        <v>[cl.8.2.4.2]</v>
      </c>
      <c r="H159" s="38" t="s">
        <v>200</v>
      </c>
      <c r="I159" s="111" t="s">
        <v>201</v>
      </c>
      <c r="J159" s="112">
        <f>(29+7000*J157)</f>
        <v>35.961209556817366</v>
      </c>
      <c r="K159" s="113" t="s">
        <v>202</v>
      </c>
      <c r="L159" s="43" t="str">
        <f>L158</f>
        <v>[cl.8.2.4.2]</v>
      </c>
    </row>
    <row r="160" spans="2:12" ht="15" thickBot="1"/>
    <row r="161" spans="2:12" ht="18.600000000000001" thickBot="1">
      <c r="B161" s="176" t="s">
        <v>164</v>
      </c>
      <c r="C161" s="177"/>
    </row>
    <row r="162" spans="2:12" ht="15" thickBot="1"/>
    <row r="163" spans="2:12" ht="15.6">
      <c r="B163" s="37" t="s">
        <v>99</v>
      </c>
      <c r="C163" s="6"/>
      <c r="D163" s="6"/>
      <c r="E163" s="6"/>
      <c r="F163" s="7"/>
    </row>
    <row r="164" spans="2:12">
      <c r="B164" s="44" t="s">
        <v>100</v>
      </c>
      <c r="F164" s="13"/>
    </row>
    <row r="165" spans="2:12">
      <c r="B165" s="44" t="s">
        <v>109</v>
      </c>
      <c r="F165" s="13"/>
    </row>
    <row r="166" spans="2:12" ht="15" thickBot="1">
      <c r="B166" s="122" t="s">
        <v>315</v>
      </c>
      <c r="C166" s="46"/>
      <c r="D166" s="46"/>
      <c r="E166" s="46"/>
      <c r="F166" s="47"/>
    </row>
    <row r="167" spans="2:12" ht="15" thickBot="1"/>
    <row r="168" spans="2:12" ht="15.6">
      <c r="B168" s="37" t="s">
        <v>172</v>
      </c>
      <c r="C168" s="21"/>
      <c r="D168" s="21"/>
      <c r="E168" s="21"/>
      <c r="F168" s="22"/>
      <c r="H168" s="37" t="s">
        <v>173</v>
      </c>
      <c r="I168" s="21"/>
      <c r="J168" s="21"/>
      <c r="K168" s="21"/>
      <c r="L168" s="22"/>
    </row>
    <row r="169" spans="2:12" ht="15.6">
      <c r="B169" s="80" t="s">
        <v>146</v>
      </c>
      <c r="C169" s="5" t="s">
        <v>147</v>
      </c>
      <c r="D169" s="73">
        <f>(('PC-B1-3_DDR (2)'!$D$10*100)^1.5)*0.043*SQRT('PC-B1-3_DDR (2)'!D23)</f>
        <v>38006.989488776897</v>
      </c>
      <c r="E169" s="10"/>
      <c r="F169" s="11"/>
      <c r="H169" s="80" t="s">
        <v>146</v>
      </c>
      <c r="I169" s="5" t="s">
        <v>147</v>
      </c>
      <c r="J169" s="73">
        <f>(('PC-B1-3_DDR (2)'!$D$10*100)^1.5)*0.043*SQRT('PC-B1-3_DDR (2)'!D23)</f>
        <v>38006.989488776897</v>
      </c>
      <c r="K169" s="10"/>
      <c r="L169" s="11"/>
    </row>
    <row r="170" spans="2:12" ht="15.6">
      <c r="B170" s="8" t="s">
        <v>148</v>
      </c>
      <c r="C170" s="5" t="s">
        <v>149</v>
      </c>
      <c r="D170" s="42">
        <f>0.6*'PC-B1-3_DDR (2)'!D23</f>
        <v>30</v>
      </c>
      <c r="E170" s="10" t="s">
        <v>25</v>
      </c>
      <c r="F170" s="11" t="s">
        <v>150</v>
      </c>
      <c r="G170" t="s">
        <v>336</v>
      </c>
      <c r="H170" s="8" t="s">
        <v>148</v>
      </c>
      <c r="I170" s="5" t="s">
        <v>149</v>
      </c>
      <c r="J170" s="42">
        <f>0.6*'PC-B1-3_DDR (2)'!D23</f>
        <v>30</v>
      </c>
      <c r="K170" s="10" t="s">
        <v>25</v>
      </c>
      <c r="L170" s="11" t="s">
        <v>150</v>
      </c>
    </row>
    <row r="171" spans="2:12" ht="15.6">
      <c r="B171" s="8" t="s">
        <v>151</v>
      </c>
      <c r="C171" s="5" t="s">
        <v>152</v>
      </c>
      <c r="D171" s="42">
        <f>J22</f>
        <v>150</v>
      </c>
      <c r="E171" s="10" t="s">
        <v>25</v>
      </c>
      <c r="F171" s="11"/>
      <c r="H171" s="8" t="s">
        <v>151</v>
      </c>
      <c r="I171" s="5" t="s">
        <v>152</v>
      </c>
      <c r="J171" s="42">
        <f>J23</f>
        <v>150</v>
      </c>
      <c r="K171" s="10" t="s">
        <v>25</v>
      </c>
      <c r="L171" s="11"/>
    </row>
    <row r="172" spans="2:12" ht="15.6">
      <c r="B172" s="8" t="s">
        <v>163</v>
      </c>
      <c r="C172" s="5" t="s">
        <v>153</v>
      </c>
      <c r="D172" s="124">
        <f>'PC-B1-3_DDR (2)'!D27/D169</f>
        <v>5.2621899995278003</v>
      </c>
      <c r="E172" s="75"/>
      <c r="F172" s="14"/>
      <c r="H172" s="8" t="s">
        <v>163</v>
      </c>
      <c r="I172" s="5" t="s">
        <v>153</v>
      </c>
      <c r="J172" s="124">
        <f>'PC-B1-3_DDR (2)'!D27/J169</f>
        <v>5.2621899995278003</v>
      </c>
      <c r="K172" s="75"/>
      <c r="L172" s="14"/>
    </row>
    <row r="173" spans="2:12" ht="15.6">
      <c r="B173" s="8" t="s">
        <v>162</v>
      </c>
      <c r="C173" s="5" t="s">
        <v>154</v>
      </c>
      <c r="D173" s="123">
        <f>'PC-B1-3_DDR (2)'!D52/('PC-B1-3_DDR (2)'!D8*'PC-B1-3_DDR (2)'!D9)</f>
        <v>6.1199999999999996E-3</v>
      </c>
      <c r="E173" s="76"/>
      <c r="F173" s="14"/>
      <c r="H173" s="8" t="s">
        <v>162</v>
      </c>
      <c r="I173" s="5" t="s">
        <v>154</v>
      </c>
      <c r="J173" s="123">
        <f>'PC-B1-3_DDR (2)'!D51/('PC-B1-3_DDR (2)'!D8*'PC-B1-3_DDR (2)'!D9)</f>
        <v>1.0880000000000001E-2</v>
      </c>
      <c r="K173" s="76"/>
      <c r="L173" s="14"/>
    </row>
    <row r="174" spans="2:12" ht="15.6">
      <c r="B174" s="8" t="s">
        <v>161</v>
      </c>
      <c r="C174" s="5" t="s">
        <v>155</v>
      </c>
      <c r="D174" s="124">
        <f>SQRT((D172*D173)^2+2*D173*D172)-D172*D173</f>
        <v>0.22362022405818144</v>
      </c>
      <c r="E174" s="75"/>
      <c r="F174" s="14"/>
      <c r="H174" s="8" t="s">
        <v>161</v>
      </c>
      <c r="I174" s="5" t="s">
        <v>155</v>
      </c>
      <c r="J174" s="124">
        <f>SQRT((J173*J172)^2+J173*J172*2)-J172*J173</f>
        <v>0.285942823984839</v>
      </c>
      <c r="K174" s="75"/>
      <c r="L174" s="14"/>
    </row>
    <row r="175" spans="2:12" ht="15.6">
      <c r="B175" s="8"/>
      <c r="C175" s="5" t="s">
        <v>156</v>
      </c>
      <c r="D175" s="124">
        <f>1-D174/3</f>
        <v>0.9254599253139395</v>
      </c>
      <c r="F175" s="14"/>
      <c r="H175" s="8"/>
      <c r="I175" s="5" t="s">
        <v>156</v>
      </c>
      <c r="J175" s="124">
        <f>1-J174/3</f>
        <v>0.90468572533838698</v>
      </c>
      <c r="L175" s="14"/>
    </row>
    <row r="176" spans="2:12" ht="15.6">
      <c r="B176" s="8"/>
      <c r="C176" s="5" t="s">
        <v>157</v>
      </c>
      <c r="D176" s="77">
        <f>2*'PC-B1-3_DDR (2)'!$D$38/(D175*('PC-B1-3_DDR (2)'!$D$50^2)*'PC-B1-3_DDR (2)'!$D$9*D174)*1000000</f>
        <v>9.2100674711447894</v>
      </c>
      <c r="F176" s="14"/>
      <c r="H176" s="8"/>
      <c r="I176" s="5" t="s">
        <v>157</v>
      </c>
      <c r="J176" s="77">
        <f>2*'PC-B1-3_DDR (2)'!$D$38/(J175*('PC-B1-3_DDR (2)'!$D$50^2)*'PC-B1-3_DDR (2)'!$D$9*J174)*1000000</f>
        <v>7.3680839886976823</v>
      </c>
      <c r="L176" s="14"/>
    </row>
    <row r="177" spans="2:12" ht="15.6">
      <c r="B177" s="8" t="s">
        <v>158</v>
      </c>
      <c r="C177" s="5" t="s">
        <v>52</v>
      </c>
      <c r="D177" s="78" t="str">
        <f>IF($D$170&gt;D176,"Pass","Fail")</f>
        <v>Pass</v>
      </c>
      <c r="F177" s="14"/>
      <c r="H177" s="8" t="s">
        <v>158</v>
      </c>
      <c r="I177" s="5" t="s">
        <v>52</v>
      </c>
      <c r="J177" s="78" t="str">
        <f>IF($J$170&gt;J176,"Pass","Fail")</f>
        <v>Pass</v>
      </c>
      <c r="L177" s="14"/>
    </row>
    <row r="178" spans="2:12" ht="15.6">
      <c r="B178" s="8"/>
      <c r="C178" s="5" t="s">
        <v>159</v>
      </c>
      <c r="D178" s="77">
        <f>'PC-B1-3_DDR (2)'!$D$39/('PC-B1-3_DDR (2)'!$D$52*D175*'PC-B1-3_DDR (2)'!$J$53)*1000000 + -1*D35*1000*0.5/D52</f>
        <v>198.99120046484484</v>
      </c>
      <c r="F178" s="14"/>
      <c r="H178" s="8"/>
      <c r="I178" s="5" t="s">
        <v>159</v>
      </c>
      <c r="J178" s="77">
        <f>'PC-B1-3_DDR (2)'!$D$38/('PC-B1-3_DDR (2)'!$D$51*J175*'PC-B1-3_DDR (2)'!$D$50)*1000000 + -1*D35*1000*0.5/D51</f>
        <v>123.02301813287238</v>
      </c>
      <c r="L178" s="14"/>
    </row>
    <row r="179" spans="2:12" ht="16.2" thickBot="1">
      <c r="B179" s="38" t="s">
        <v>160</v>
      </c>
      <c r="C179" s="39" t="s">
        <v>52</v>
      </c>
      <c r="D179" s="79" t="str">
        <f>IF($D$171&gt;D178,"Pass","Fail")</f>
        <v>Fail</v>
      </c>
      <c r="E179" s="46"/>
      <c r="F179" s="41"/>
      <c r="H179" s="38" t="s">
        <v>160</v>
      </c>
      <c r="I179" s="39" t="s">
        <v>52</v>
      </c>
      <c r="J179" s="79" t="str">
        <f>IF($J$171&gt;J178,"Pass","Fail")</f>
        <v>Pass</v>
      </c>
      <c r="K179" s="46"/>
      <c r="L179" s="41"/>
    </row>
  </sheetData>
  <mergeCells count="7">
    <mergeCell ref="B161:C161"/>
    <mergeCell ref="B1:F1"/>
    <mergeCell ref="B5:C5"/>
    <mergeCell ref="B140:F140"/>
    <mergeCell ref="H140:L140"/>
    <mergeCell ref="D149:E149"/>
    <mergeCell ref="J149:K149"/>
  </mergeCells>
  <conditionalFormatting sqref="L8:L19">
    <cfRule type="cellIs" dxfId="0" priority="1" operator="equal">
      <formula>"Fail"</formula>
    </cfRule>
  </conditionalFormatting>
  <dataValidations count="1">
    <dataValidation type="list" allowBlank="1" showInputMessage="1" showErrorMessage="1" sqref="F5" xr:uid="{C48938D6-C0AB-48E1-BEED-3C88BAA2C2D2}">
      <formula1>$R$7:$S$7</formula1>
    </dataValidation>
  </dataValidations>
  <pageMargins left="0.7" right="0.7" top="0.75" bottom="0.75" header="0.3" footer="0.3"/>
  <pageSetup paperSize="9" scale="35" fitToHeight="0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B7"/>
  <sheetViews>
    <sheetView workbookViewId="0"/>
  </sheetViews>
  <sheetFormatPr defaultRowHeight="14.4"/>
  <cols>
    <col min="2" max="2" width="28.88671875" bestFit="1" customWidth="1"/>
  </cols>
  <sheetData>
    <row r="1" spans="2:2" ht="15" thickBot="1"/>
    <row r="2" spans="2:2" ht="18.600000000000001" thickBot="1">
      <c r="B2" s="1" t="s">
        <v>311</v>
      </c>
    </row>
    <row r="4" spans="2:2">
      <c r="B4" t="s">
        <v>312</v>
      </c>
    </row>
    <row r="5" spans="2:2">
      <c r="B5" t="s">
        <v>313</v>
      </c>
    </row>
    <row r="6" spans="2:2">
      <c r="B6" t="s">
        <v>314</v>
      </c>
    </row>
    <row r="7" spans="2:2">
      <c r="B7" t="s">
        <v>310</v>
      </c>
    </row>
  </sheetData>
  <pageMargins left="0.7" right="0.7" top="0.75" bottom="0.75" header="0.3" footer="0.3"/>
  <pageSetup paperSize="9" orientation="portrait" horizontalDpi="300" verticalDpi="0" copies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3D664183D59B49BA4D3EBF570D3770" ma:contentTypeVersion="19" ma:contentTypeDescription="Create a new document." ma:contentTypeScope="" ma:versionID="343d3c56367f1669b3044f360e1df4c3">
  <xsd:schema xmlns:xsd="http://www.w3.org/2001/XMLSchema" xmlns:xs="http://www.w3.org/2001/XMLSchema" xmlns:p="http://schemas.microsoft.com/office/2006/metadata/properties" xmlns:ns2="20636e4d-e045-4dbb-8f40-1a8db435f2d5" xmlns:ns3="cf1612c3-ad24-4272-a78d-2094e3f16787" targetNamespace="http://schemas.microsoft.com/office/2006/metadata/properties" ma:root="true" ma:fieldsID="e56c27a1d2ebc45bdca7c2a130ccabca" ns2:_="" ns3:_="">
    <xsd:import namespace="20636e4d-e045-4dbb-8f40-1a8db435f2d5"/>
    <xsd:import namespace="cf1612c3-ad24-4272-a78d-2094e3f167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OCR" minOccurs="0"/>
                <xsd:element ref="ns2:MediaServiceLocation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2:Date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636e4d-e045-4dbb-8f40-1a8db435f2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0475932d-32d3-4986-b32f-348d703461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DateTime" ma:index="25" nillable="true" ma:displayName="Date &amp; Time" ma:format="Dropdown" ma:list="20636e4d-e045-4dbb-8f40-1a8db435f2d5" ma:internalName="DateTime" ma:showField="Modified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1612c3-ad24-4272-a78d-2094e3f1678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0636e4d-e045-4dbb-8f40-1a8db435f2d5">
      <Terms xmlns="http://schemas.microsoft.com/office/infopath/2007/PartnerControls"/>
    </lcf76f155ced4ddcb4097134ff3c332f>
    <DateTime xmlns="20636e4d-e045-4dbb-8f40-1a8db435f2d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648A67-5B9E-4EF5-BBBB-32E1DBF463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0636e4d-e045-4dbb-8f40-1a8db435f2d5"/>
    <ds:schemaRef ds:uri="cf1612c3-ad24-4272-a78d-2094e3f167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D3DEAAE-825B-453B-9963-CA6D60E1FE97}">
  <ds:schemaRefs>
    <ds:schemaRef ds:uri="http://schemas.openxmlformats.org/package/2006/metadata/core-properties"/>
    <ds:schemaRef ds:uri="cf1612c3-ad24-4272-a78d-2094e3f16787"/>
    <ds:schemaRef ds:uri="20636e4d-e045-4dbb-8f40-1a8db435f2d5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0F830FB-7EEF-46D9-AEE4-62AAE577A4FD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3b17afdc-1639-4c16-803b-66671fba3b73}" enabled="1" method="Privileged" siteId="{9e52d672-a711-4a65-ad96-286a3703d96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DESIGN</vt:lpstr>
      <vt:lpstr>PC-B1-3_DDR</vt:lpstr>
      <vt:lpstr>PC-B4-7_DDR1</vt:lpstr>
      <vt:lpstr>PC-S1_DDR1</vt:lpstr>
      <vt:lpstr>PC-B4-7_DDR1 (2)</vt:lpstr>
      <vt:lpstr>PC-S1_DDR1 (2)</vt:lpstr>
      <vt:lpstr>PC-B1-3_DDR (2)</vt:lpstr>
      <vt:lpstr>Data Validation</vt:lpstr>
    </vt:vector>
  </TitlesOfParts>
  <Company>KBR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Walker</dc:creator>
  <cp:lastModifiedBy>Andy Do</cp:lastModifiedBy>
  <cp:lastPrinted>2025-11-18T06:02:53Z</cp:lastPrinted>
  <dcterms:created xsi:type="dcterms:W3CDTF">2018-10-04T22:26:22Z</dcterms:created>
  <dcterms:modified xsi:type="dcterms:W3CDTF">2026-01-15T05:20:12Z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17afdc-1639-4c16-803b-66671fba3b73_Enabled">
    <vt:lpwstr>true</vt:lpwstr>
  </property>
  <property fmtid="{D5CDD505-2E9C-101B-9397-08002B2CF9AE}" pid="3" name="MSIP_Label_3b17afdc-1639-4c16-803b-66671fba3b73_SetDate">
    <vt:lpwstr>2022-03-08T23:06:06Z</vt:lpwstr>
  </property>
  <property fmtid="{D5CDD505-2E9C-101B-9397-08002B2CF9AE}" pid="4" name="MSIP_Label_3b17afdc-1639-4c16-803b-66671fba3b73_Method">
    <vt:lpwstr>Privileged</vt:lpwstr>
  </property>
  <property fmtid="{D5CDD505-2E9C-101B-9397-08002B2CF9AE}" pid="5" name="MSIP_Label_3b17afdc-1639-4c16-803b-66671fba3b73_Name">
    <vt:lpwstr>Public</vt:lpwstr>
  </property>
  <property fmtid="{D5CDD505-2E9C-101B-9397-08002B2CF9AE}" pid="6" name="MSIP_Label_3b17afdc-1639-4c16-803b-66671fba3b73_SiteId">
    <vt:lpwstr>9e52d672-a711-4a65-ad96-286a3703d96e</vt:lpwstr>
  </property>
  <property fmtid="{D5CDD505-2E9C-101B-9397-08002B2CF9AE}" pid="7" name="MSIP_Label_3b17afdc-1639-4c16-803b-66671fba3b73_ActionId">
    <vt:lpwstr>2423f595-3b7b-4597-ad6e-e7fa5f4a561a</vt:lpwstr>
  </property>
  <property fmtid="{D5CDD505-2E9C-101B-9397-08002B2CF9AE}" pid="8" name="MSIP_Label_3b17afdc-1639-4c16-803b-66671fba3b73_ContentBits">
    <vt:lpwstr>0</vt:lpwstr>
  </property>
  <property fmtid="{D5CDD505-2E9C-101B-9397-08002B2CF9AE}" pid="9" name="ContentTypeId">
    <vt:lpwstr>0x010100C03D664183D59B49BA4D3EBF570D3770</vt:lpwstr>
  </property>
</Properties>
</file>